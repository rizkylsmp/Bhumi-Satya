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023744b0ea42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lackbox Test" sheetId="1" r:id="R01eeaecb940c486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b/>
      <x:sz val="11"/>
      <x:color rgb="FF123B43"/>
      <x:name val="Carlito"/>
    </x:font>
    <x:font>
      <x:i/>
      <x:sz val="11"/>
      <x:color rgb="FF6B5A00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23B43"/>
      </x:patternFill>
    </x:fill>
    <x:fill>
      <x:patternFill patternType="solid">
        <x:fgColor rgb="FF147D73"/>
      </x:patternFill>
    </x:fill>
    <x:fill>
      <x:patternFill patternType="solid">
        <x:fgColor rgb="FFEAF7F4"/>
      </x:patternFill>
    </x:fill>
    <x:fill>
      <x:patternFill patternType="solid">
        <x:fgColor rgb="FFFFF4CC"/>
      </x:patternFill>
    </x:fill>
    <x:fill>
      <x:patternFill patternType="solid">
        <x:fgColor rgb="FFFFF9DF"/>
      </x:patternFill>
    </x:fill>
    <x:fill>
      <x:patternFill patternType="solid">
        <x:fgColor rgb="FFE8EEF5"/>
      </x:patternFill>
    </x:fill>
  </x:fills>
  <x:borders count="10">
    <x:border/>
    <x:border>
      <x:right style="thin">
        <x:color rgb="FFD8E3E6"/>
      </x:right>
      <x:bottom style="thin">
        <x:color rgb="FFD8E3E6"/>
      </x:bottom>
    </x:border>
    <x:border>
      <x:left style="thin">
        <x:color rgb="FFD8E3E6"/>
      </x:left>
      <x:right style="thin">
        <x:color rgb="FFD8E3E6"/>
      </x:right>
      <x:bottom style="thin">
        <x:color rgb="FFD8E3E6"/>
      </x:bottom>
    </x:border>
    <x:border>
      <x:left style="thin">
        <x:color rgb="FFD8E3E6"/>
      </x:left>
      <x:bottom style="thin">
        <x:color rgb="FFD8E3E6"/>
      </x:bottom>
    </x:border>
    <x:border>
      <x:right style="thin">
        <x:color rgb="FFD8E3E6"/>
      </x:right>
      <x:top style="thin">
        <x:color rgb="FFD8E3E6"/>
      </x:top>
      <x:bottom style="thin">
        <x:color rgb="FFD8E3E6"/>
      </x:bottom>
    </x:border>
    <x:border>
      <x:left style="thin">
        <x:color rgb="FFD8E3E6"/>
      </x:left>
      <x:right style="thin">
        <x:color rgb="FFD8E3E6"/>
      </x:right>
      <x:top style="thin">
        <x:color rgb="FFD8E3E6"/>
      </x:top>
      <x:bottom style="thin">
        <x:color rgb="FFD8E3E6"/>
      </x:bottom>
    </x:border>
    <x:border>
      <x:left style="thin">
        <x:color rgb="FFD8E3E6"/>
      </x:left>
      <x:top style="thin">
        <x:color rgb="FFD8E3E6"/>
      </x:top>
      <x:bottom style="thin">
        <x:color rgb="FFD8E3E6"/>
      </x:bottom>
    </x:border>
    <x:border>
      <x:right style="thin">
        <x:color rgb="FFD8E3E6"/>
      </x:right>
      <x:top style="thin">
        <x:color rgb="FFD8E3E6"/>
      </x:top>
    </x:border>
    <x:border>
      <x:left style="thin">
        <x:color rgb="FFD8E3E6"/>
      </x:left>
      <x:right style="thin">
        <x:color rgb="FFD8E3E6"/>
      </x:right>
      <x:top style="thin">
        <x:color rgb="FFD8E3E6"/>
      </x:top>
    </x:border>
    <x:border>
      <x:left style="thin">
        <x:color rgb="FFD8E3E6"/>
      </x:left>
      <x:top style="thin">
        <x:color rgb="FFD8E3E6"/>
      </x:top>
    </x:border>
  </x:borders>
  <x:cellStyleXfs count="1">
    <x:xf numFmtId="0" fontId="0" fillId="0" borderId="0"/>
  </x:cellStyleXfs>
  <x:cellXfs count="3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6" borderId="0" xfId="0" applyNumberFormat="1" applyFont="1" applyFill="1" applyBorder="1"/>
    <x:xf numFmtId="0" fontId="0" fillId="7" borderId="0" xfId="0" applyNumberFormat="1" applyFont="1" applyFill="1" applyBorder="1"/>
    <x:xf numFmtId="0" fontId="0" fillId="0" borderId="0" xfId="0" applyNumberFormat="1" applyFont="1" applyFill="1" applyBorder="1" applyAlignment="1">
      <x:alignment vertical="top"/>
    </x:xf>
    <x:xf numFmtId="0" fontId="0" fillId="6" borderId="0" xfId="0" applyNumberFormat="1" applyFont="1" applyFill="1" applyBorder="1" applyAlignment="1">
      <x:alignment vertical="top"/>
    </x:xf>
    <x:xf numFmtId="0" fontId="0" fillId="7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4" xfId="0" applyNumberFormat="1" applyFont="1" applyFill="1" applyBorder="1" applyAlignment="1">
      <x:alignment vertical="top"/>
    </x:xf>
    <x:xf numFmtId="0" fontId="0" fillId="0" borderId="5" xfId="0" applyNumberFormat="1" applyFont="1" applyFill="1" applyBorder="1" applyAlignment="1">
      <x:alignment vertical="top"/>
    </x:xf>
    <x:xf numFmtId="0" fontId="0" fillId="0" borderId="5" xfId="0" applyNumberFormat="1" applyFont="1" applyFill="1" applyBorder="1" applyAlignment="1">
      <x:alignment vertical="top" wrapText="1"/>
    </x:xf>
    <x:xf numFmtId="0" fontId="0" fillId="6" borderId="5" xfId="0" applyNumberFormat="1" applyFont="1" applyFill="1" applyBorder="1" applyAlignment="1">
      <x:alignment vertical="top" wrapText="1"/>
    </x:xf>
    <x:xf numFmtId="0" fontId="0" fillId="7" borderId="5" xfId="0" applyNumberFormat="1" applyFont="1" applyFill="1" applyBorder="1" applyAlignment="1">
      <x:alignment vertical="top"/>
    </x:xf>
    <x:xf numFmtId="0" fontId="0" fillId="6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/>
    </x:xf>
    <x:xf numFmtId="0" fontId="0" fillId="0" borderId="8" xfId="0" applyNumberFormat="1" applyFont="1" applyFill="1" applyBorder="1" applyAlignment="1">
      <x:alignment vertical="top"/>
    </x:xf>
    <x:xf numFmtId="0" fontId="0" fillId="0" borderId="8" xfId="0" applyNumberFormat="1" applyFont="1" applyFill="1" applyBorder="1" applyAlignment="1">
      <x:alignment vertical="top" wrapText="1"/>
    </x:xf>
    <x:xf numFmtId="0" fontId="0" fillId="6" borderId="8" xfId="0" applyNumberFormat="1" applyFont="1" applyFill="1" applyBorder="1" applyAlignment="1">
      <x:alignment vertical="top" wrapText="1"/>
    </x:xf>
    <x:xf numFmtId="0" fontId="0" fillId="7" borderId="8" xfId="0" applyNumberFormat="1" applyFont="1" applyFill="1" applyBorder="1" applyAlignment="1">
      <x:alignment vertical="top"/>
    </x:xf>
    <x:xf numFmtId="0" fontId="0" fillId="6" borderId="9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6d6609a8d746c8" /><Relationship Type="http://schemas.openxmlformats.org/officeDocument/2006/relationships/theme" Target="/xl/theme/theme1.xml" Id="Rb795c77e760d4ef7" /><Relationship Type="http://schemas.openxmlformats.org/officeDocument/2006/relationships/sharedStrings" Target="/xl/sharedStrings.xml" Id="R01824fb6206c43f0" /><Relationship Type="http://schemas.openxmlformats.org/officeDocument/2006/relationships/worksheet" Target="/xl/worksheets/sheet1.xml" Id="R01eeaecb940c486b" /></Relationships>
</file>

<file path=xl/tables/table1.xml><?xml version="1.0" encoding="utf-8"?>
<x:table xmlns:x="http://schemas.openxmlformats.org/spreadsheetml/2006/main" id="1" name="BlackboxTestTable" displayName="BlackboxTestTable" ref="A7:G47" headerRowCount="1" totalsRowCount="0" totalsRowShown="0">
  <x:autoFilter ref="A7:G47"/>
  <x:tableColumns count="7">
    <x:tableColumn id="1" name="ID"/>
    <x:tableColumn id="2" name="Modul"/>
    <x:tableColumn id="3" name="Skenario Pengujian"/>
    <x:tableColumn id="4" name="Hasil Diharapkan"/>
    <x:tableColumn id="5" name="Hasil Aktual"/>
    <x:tableColumn id="6" name="Status"/>
    <x:tableColumn id="7" name="Catata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637b68be405453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8" hidden="0" customWidth="1"/>
    <x:col min="3" max="3" width="42" hidden="0" customWidth="1"/>
    <x:col min="4" max="4" width="42" hidden="0" customWidth="1"/>
    <x:col min="5" max="5" width="38" hidden="0" customWidth="1"/>
    <x:col min="6" max="6" width="15" hidden="0" customWidth="1"/>
    <x:col min="7" max="7" width="28" hidden="0" customWidth="1"/>
  </x:cols>
  <x:sheetData>
    <x:row r="1" ht="34" customHeight="1">
      <x:c r="A1" s="3" t="str">
        <x:v>BLACKBOX TESTING — BHUMI SATYA</x:v>
      </x:c>
      <x:c r="B1" s="3"/>
      <x:c r="C1" s="3"/>
      <x:c r="D1" s="3"/>
      <x:c r="E1" s="3"/>
      <x:c r="F1" s="3"/>
      <x:c r="G1" s="3"/>
    </x:row>
    <x:row r="3">
      <x:c r="A3" s="6" t="str">
        <x:v>Total</x:v>
      </x:c>
      <x:c r="B3" s="6" t="str">
        <x:v>Passed</x:v>
      </x:c>
      <x:c r="C3" s="6" t="str">
        <x:v>Failed</x:v>
      </x:c>
      <x:c r="D3" s="6" t="str">
        <x:v>Blocked</x:v>
      </x:c>
      <x:c r="E3" s="6" t="str">
        <x:v>Not Tested</x:v>
      </x:c>
    </x:row>
    <x:row r="4">
      <x:c r="A4" s="9" t="n">
        <x:f>COUNTA(A8:A47)</x:f>
        <x:v>40</x:v>
      </x:c>
      <x:c r="B4" s="9" t="n">
        <x:f>COUNTIF(F8:F47,"Passed")</x:f>
        <x:v>0</x:v>
      </x:c>
      <x:c r="C4" s="9" t="n">
        <x:f>COUNTIF(F8:F47,"Failed")</x:f>
        <x:v>0</x:v>
      </x:c>
      <x:c r="D4" s="9" t="n">
        <x:f>COUNTIF(F8:F47,"Blocked")</x:f>
        <x:v>0</x:v>
      </x:c>
      <x:c r="E4" s="9" t="n">
        <x:f>COUNTIF(F8:F47,"Not Tested")</x:f>
        <x:v>40</x:v>
      </x:c>
    </x:row>
    <x:row r="6">
      <x:c r="A6" s="11" t="str">
        <x:v>Isi Hasil Aktual, pilih Status, lalu tambahkan Catatan bila diperlukan.</x:v>
      </x:c>
      <x:c r="B6" s="11"/>
      <x:c r="C6" s="11"/>
      <x:c r="D6" s="11"/>
      <x:c r="E6" s="11"/>
      <x:c r="F6" s="11"/>
      <x:c r="G6" s="11"/>
    </x:row>
    <x:row r="7">
      <x:c r="A7" s="19" t="str">
        <x:v>ID</x:v>
      </x:c>
      <x:c r="B7" s="20" t="str">
        <x:v>Modul</x:v>
      </x:c>
      <x:c r="C7" s="20" t="str">
        <x:v>Skenario Pengujian</x:v>
      </x:c>
      <x:c r="D7" s="20" t="str">
        <x:v>Hasil Diharapkan</x:v>
      </x:c>
      <x:c r="E7" s="20" t="str">
        <x:v>Hasil Aktual</x:v>
      </x:c>
      <x:c r="F7" s="20" t="str">
        <x:v>Status</x:v>
      </x:c>
      <x:c r="G7" s="21" t="str">
        <x:v>Catatan</x:v>
      </x:c>
    </x:row>
    <x:row r="8" ht="34" customHeight="1">
      <x:c r="A8" s="22" t="str">
        <x:v>TC-001</x:v>
      </x:c>
      <x:c r="B8" s="23" t="str">
        <x:v>Landing Page</x:v>
      </x:c>
      <x:c r="C8" s="24" t="str">
        <x:v>Buka domain utama melalui HTTPS</x:v>
      </x:c>
      <x:c r="D8" s="24" t="str">
        <x:v>Landing page tampil normal tanpa error</x:v>
      </x:c>
      <x:c r="E8" s="25" t="str"/>
      <x:c r="F8" s="26" t="str">
        <x:v>Not Tested</x:v>
      </x:c>
      <x:c r="G8" s="27" t="str"/>
    </x:row>
    <x:row r="9" ht="34" customHeight="1">
      <x:c r="A9" s="22" t="str">
        <x:v>TC-002</x:v>
      </x:c>
      <x:c r="B9" s="23" t="str">
        <x:v>Landing Page</x:v>
      </x:c>
      <x:c r="C9" s="24" t="str">
        <x:v>Periksa identitas, hero, dan navbar</x:v>
      </x:c>
      <x:c r="D9" s="24" t="str">
        <x:v>Nama Bhumi Satya/Digital Twin dan navbar tampil konsisten</x:v>
      </x:c>
      <x:c r="E9" s="25" t="str"/>
      <x:c r="F9" s="26" t="str">
        <x:v>Not Tested</x:v>
      </x:c>
      <x:c r="G9" s="27" t="str"/>
    </x:row>
    <x:row r="10" ht="34" customHeight="1">
      <x:c r="A10" s="22" t="str">
        <x:v>TC-003</x:v>
      </x:c>
      <x:c r="B10" s="23" t="str">
        <x:v>Landing Page</x:v>
      </x:c>
      <x:c r="C10" s="24" t="str">
        <x:v>Klik tombol Login</x:v>
      </x:c>
      <x:c r="D10" s="24" t="str">
        <x:v>Panel login langsung terbuka</x:v>
      </x:c>
      <x:c r="E10" s="25" t="str"/>
      <x:c r="F10" s="26" t="str">
        <x:v>Not Tested</x:v>
      </x:c>
      <x:c r="G10" s="27" t="str"/>
    </x:row>
    <x:row r="11" ht="34" customHeight="1">
      <x:c r="A11" s="22" t="str">
        <x:v>TC-004</x:v>
      </x:c>
      <x:c r="B11" s="23" t="str">
        <x:v>Landing Page</x:v>
      </x:c>
      <x:c r="C11" s="24" t="str">
        <x:v>Uji light mode, dark mode, dan scroll halaman</x:v>
      </x:c>
      <x:c r="D11" s="24" t="str">
        <x:v>Tema berfungsi dan seluruh halaman dapat di-scroll</x:v>
      </x:c>
      <x:c r="E11" s="25" t="str"/>
      <x:c r="F11" s="26" t="str">
        <x:v>Not Tested</x:v>
      </x:c>
      <x:c r="G11" s="27" t="str"/>
    </x:row>
    <x:row r="12" ht="34" customHeight="1">
      <x:c r="A12" s="22" t="str">
        <x:v>TC-005</x:v>
      </x:c>
      <x:c r="B12" s="23" t="str">
        <x:v>Login</x:v>
      </x:c>
      <x:c r="C12" s="24" t="str">
        <x:v>Login memakai akun admin yang valid</x:v>
      </x:c>
      <x:c r="D12" s="24" t="str">
        <x:v>Admin diarahkan ke dashboard admin</x:v>
      </x:c>
      <x:c r="E12" s="25" t="str"/>
      <x:c r="F12" s="26" t="str">
        <x:v>Not Tested</x:v>
      </x:c>
      <x:c r="G12" s="27" t="str"/>
    </x:row>
    <x:row r="13" ht="34" customHeight="1">
      <x:c r="A13" s="22" t="str">
        <x:v>TC-006</x:v>
      </x:c>
      <x:c r="B13" s="23" t="str">
        <x:v>Login</x:v>
      </x:c>
      <x:c r="C13" s="24" t="str">
        <x:v>Login memakai akun masyarakat yang valid</x:v>
      </x:c>
      <x:c r="D13" s="24" t="str">
        <x:v>Masyarakat diarahkan ke halaman masyarakat</x:v>
      </x:c>
      <x:c r="E13" s="25" t="str"/>
      <x:c r="F13" s="26" t="str">
        <x:v>Not Tested</x:v>
      </x:c>
      <x:c r="G13" s="27" t="str"/>
    </x:row>
    <x:row r="14" ht="34" customHeight="1">
      <x:c r="A14" s="22" t="str">
        <x:v>TC-007</x:v>
      </x:c>
      <x:c r="B14" s="23" t="str">
        <x:v>Login</x:v>
      </x:c>
      <x:c r="C14" s="24" t="str">
        <x:v>Login memakai password yang salah</x:v>
      </x:c>
      <x:c r="D14" s="24" t="str">
        <x:v>Login ditolak dengan pesan yang jelas</x:v>
      </x:c>
      <x:c r="E14" s="25" t="str"/>
      <x:c r="F14" s="26" t="str">
        <x:v>Not Tested</x:v>
      </x:c>
      <x:c r="G14" s="27" t="str"/>
    </x:row>
    <x:row r="15" ht="34" customHeight="1">
      <x:c r="A15" s="22" t="str">
        <x:v>TC-008</x:v>
      </x:c>
      <x:c r="B15" s="23" t="str">
        <x:v>Login</x:v>
      </x:c>
      <x:c r="C15" s="24" t="str">
        <x:v>Buka halaman admin tanpa login</x:v>
      </x:c>
      <x:c r="D15" s="24" t="str">
        <x:v>Pengguna diarahkan ke login</x:v>
      </x:c>
      <x:c r="E15" s="25" t="str"/>
      <x:c r="F15" s="26" t="str">
        <x:v>Not Tested</x:v>
      </x:c>
      <x:c r="G15" s="27" t="str"/>
    </x:row>
    <x:row r="16" ht="34" customHeight="1">
      <x:c r="A16" s="22" t="str">
        <x:v>TC-009</x:v>
      </x:c>
      <x:c r="B16" s="23" t="str">
        <x:v>Dashboard</x:v>
      </x:c>
      <x:c r="C16" s="24" t="str">
        <x:v>Buka dashboard setelah login</x:v>
      </x:c>
      <x:c r="D16" s="24" t="str">
        <x:v>Ringkasan Digital Twin dan penyewaan tampil tanpa error</x:v>
      </x:c>
      <x:c r="E16" s="25" t="str"/>
      <x:c r="F16" s="26" t="str">
        <x:v>Not Tested</x:v>
      </x:c>
      <x:c r="G16" s="27" t="str"/>
    </x:row>
    <x:row r="17" ht="34" customHeight="1">
      <x:c r="A17" s="22" t="str">
        <x:v>TC-010</x:v>
      </x:c>
      <x:c r="B17" s="23" t="str">
        <x:v>Navigasi</x:v>
      </x:c>
      <x:c r="C17" s="24" t="str">
        <x:v>Buka semua menu sidebar dan dropdown</x:v>
      </x:c>
      <x:c r="D17" s="24" t="str">
        <x:v>Menu terbuka, aktif, dan navbar/sidebar tidak berubah ukuran</x:v>
      </x:c>
      <x:c r="E17" s="25" t="str"/>
      <x:c r="F17" s="26" t="str">
        <x:v>Not Tested</x:v>
      </x:c>
      <x:c r="G17" s="27" t="str"/>
    </x:row>
    <x:row r="18" ht="34" customHeight="1">
      <x:c r="A18" s="22" t="str">
        <x:v>TC-011</x:v>
      </x:c>
      <x:c r="B18" s="23" t="str">
        <x:v>Navigasi</x:v>
      </x:c>
      <x:c r="C18" s="24" t="str">
        <x:v>Buka sidebar pada desktop dan mobile</x:v>
      </x:c>
      <x:c r="D18" s="24" t="str">
        <x:v>Animasi ringan berjalan dan layout tidak rusak</x:v>
      </x:c>
      <x:c r="E18" s="25" t="str"/>
      <x:c r="F18" s="26" t="str">
        <x:v>Not Tested</x:v>
      </x:c>
      <x:c r="G18" s="27" t="str"/>
    </x:row>
    <x:row r="19" ht="34" customHeight="1">
      <x:c r="A19" s="22" t="str">
        <x:v>TC-012</x:v>
      </x:c>
      <x:c r="B19" s="23" t="str">
        <x:v>Daftar Data</x:v>
      </x:c>
      <x:c r="C19" s="24" t="str">
        <x:v>Buka tabel Legal, Fisik, Administratif, Pajak, dan KIB</x:v>
      </x:c>
      <x:c r="D19" s="24" t="str">
        <x:v>Tabel tampil tanpa scroll horizontal halaman</x:v>
      </x:c>
      <x:c r="E19" s="25" t="str"/>
      <x:c r="F19" s="26" t="str">
        <x:v>Not Tested</x:v>
      </x:c>
      <x:c r="G19" s="27" t="str"/>
    </x:row>
    <x:row r="20" ht="34" customHeight="1">
      <x:c r="A20" s="22" t="str">
        <x:v>TC-013</x:v>
      </x:c>
      <x:c r="B20" s="23" t="str">
        <x:v>Daftar Data</x:v>
      </x:c>
      <x:c r="C20" s="24" t="str">
        <x:v>Gunakan pencarian pada tabel</x:v>
      </x:c>
      <x:c r="D20" s="24" t="str">
        <x:v>Hasil sesuai kata kunci</x:v>
      </x:c>
      <x:c r="E20" s="25" t="str"/>
      <x:c r="F20" s="26" t="str">
        <x:v>Not Tested</x:v>
      </x:c>
      <x:c r="G20" s="27" t="str"/>
    </x:row>
    <x:row r="21" ht="34" customHeight="1">
      <x:c r="A21" s="22" t="str">
        <x:v>TC-014</x:v>
      </x:c>
      <x:c r="B21" s="23" t="str">
        <x:v>Daftar Data</x:v>
      </x:c>
      <x:c r="C21" s="24" t="str">
        <x:v>Gunakan filter dan pagination</x:v>
      </x:c>
      <x:c r="D21" s="24" t="str">
        <x:v>Filter dan perpindahan halaman bekerja</x:v>
      </x:c>
      <x:c r="E21" s="25" t="str"/>
      <x:c r="F21" s="26" t="str">
        <x:v>Not Tested</x:v>
      </x:c>
      <x:c r="G21" s="27" t="str"/>
    </x:row>
    <x:row r="22" ht="34" customHeight="1">
      <x:c r="A22" s="22" t="str">
        <x:v>TC-015</x:v>
      </x:c>
      <x:c r="B22" s="23" t="str">
        <x:v>Kelola Data</x:v>
      </x:c>
      <x:c r="C22" s="24" t="str">
        <x:v>Klik tombol Kelola pada salah satu data</x:v>
      </x:c>
      <x:c r="D22" s="24" t="str">
        <x:v>Komponen kelola terbuka dan data lama tampil</x:v>
      </x:c>
      <x:c r="E22" s="25" t="str"/>
      <x:c r="F22" s="26" t="str">
        <x:v>Not Tested</x:v>
      </x:c>
      <x:c r="G22" s="27" t="str"/>
    </x:row>
    <x:row r="23" ht="34" customHeight="1">
      <x:c r="A23" s="22" t="str">
        <x:v>TC-016</x:v>
      </x:c>
      <x:c r="B23" s="23" t="str">
        <x:v>Kelola Data</x:v>
      </x:c>
      <x:c r="C23" s="24" t="str">
        <x:v>Ubah data valid lalu simpan</x:v>
      </x:c>
      <x:c r="D23" s="24" t="str">
        <x:v>Perubahan tersimpan dan muncul di tabel</x:v>
      </x:c>
      <x:c r="E23" s="25" t="str"/>
      <x:c r="F23" s="26" t="str">
        <x:v>Not Tested</x:v>
      </x:c>
      <x:c r="G23" s="27" t="str"/>
    </x:row>
    <x:row r="24" ht="34" customHeight="1">
      <x:c r="A24" s="22" t="str">
        <x:v>TC-017</x:v>
      </x:c>
      <x:c r="B24" s="23" t="str">
        <x:v>Kelola Data</x:v>
      </x:c>
      <x:c r="C24" s="24" t="str">
        <x:v>Kosongkan field wajib lalu simpan</x:v>
      </x:c>
      <x:c r="D24" s="24" t="str">
        <x:v>Sistem menolak dan menunjukkan validasi</x:v>
      </x:c>
      <x:c r="E24" s="25" t="str"/>
      <x:c r="F24" s="26" t="str">
        <x:v>Not Tested</x:v>
      </x:c>
      <x:c r="G24" s="27" t="str"/>
    </x:row>
    <x:row r="25" ht="34" customHeight="1">
      <x:c r="A25" s="22" t="str">
        <x:v>TC-018</x:v>
      </x:c>
      <x:c r="B25" s="23" t="str">
        <x:v>Data Pajak</x:v>
      </x:c>
      <x:c r="C25" s="24" t="str">
        <x:v>Buka data tanpa NOP dan wajib pajak</x:v>
      </x:c>
      <x:c r="D25" s="24" t="str">
        <x:v>NOP dan wajib pajak ditampilkan sebagai tanda '-'</x:v>
      </x:c>
      <x:c r="E25" s="25" t="str"/>
      <x:c r="F25" s="26" t="str">
        <x:v>Not Tested</x:v>
      </x:c>
      <x:c r="G25" s="27" t="str"/>
    </x:row>
    <x:row r="26" ht="34" customHeight="1">
      <x:c r="A26" s="22" t="str">
        <x:v>TC-019</x:v>
      </x:c>
      <x:c r="B26" s="23" t="str">
        <x:v>Data Pajak</x:v>
      </x:c>
      <x:c r="C26" s="24" t="str">
        <x:v>Masukkan nilai rupiah dan luas ribuan</x:v>
      </x:c>
      <x:c r="D26" s="24" t="str">
        <x:v>Angka menggunakan pemisah ribuan sesuai pengaturan</x:v>
      </x:c>
      <x:c r="E26" s="25" t="str"/>
      <x:c r="F26" s="26" t="str">
        <x:v>Not Tested</x:v>
      </x:c>
      <x:c r="G26" s="27" t="str"/>
    </x:row>
    <x:row r="27" ht="34" customHeight="1">
      <x:c r="A27" s="22" t="str">
        <x:v>TC-020</x:v>
      </x:c>
      <x:c r="B27" s="23" t="str">
        <x:v>Pusat Data</x:v>
      </x:c>
      <x:c r="C27" s="24" t="str">
        <x:v>Buka Pusat Data dan lihat kolom utama</x:v>
      </x:c>
      <x:c r="D27" s="24" t="str">
        <x:v>Informasi penting tampil ringkas dan mudah dibaca</x:v>
      </x:c>
      <x:c r="E27" s="25" t="str"/>
      <x:c r="F27" s="26" t="str">
        <x:v>Not Tested</x:v>
      </x:c>
      <x:c r="G27" s="27" t="str"/>
    </x:row>
    <x:row r="28" ht="34" customHeight="1">
      <x:c r="A28" s="22" t="str">
        <x:v>TC-021</x:v>
      </x:c>
      <x:c r="B28" s="23" t="str">
        <x:v>Pusat Data</x:v>
      </x:c>
      <x:c r="C28" s="24" t="str">
        <x:v>Klik ikon peta pada data berkoordinat</x:v>
      </x:c>
      <x:c r="D28" s="24" t="str">
        <x:v>Peta terbuka dan fly-to ke lokasi data</x:v>
      </x:c>
      <x:c r="E28" s="25" t="str"/>
      <x:c r="F28" s="26" t="str">
        <x:v>Not Tested</x:v>
      </x:c>
      <x:c r="G28" s="27" t="str"/>
    </x:row>
    <x:row r="29" ht="34" customHeight="1">
      <x:c r="A29" s="22" t="str">
        <x:v>TC-022</x:v>
      </x:c>
      <x:c r="B29" s="23" t="str">
        <x:v>Kelola 2D</x:v>
      </x:c>
      <x:c r="C29" s="24" t="str">
        <x:v>Impor GeoJSON WGS84 yang valid</x:v>
      </x:c>
      <x:c r="D29" s="24" t="str">
        <x:v>Polygon tersimpan dan terlihat pada peta</x:v>
      </x:c>
      <x:c r="E29" s="25" t="str"/>
      <x:c r="F29" s="26" t="str">
        <x:v>Not Tested</x:v>
      </x:c>
      <x:c r="G29" s="27" t="str"/>
    </x:row>
    <x:row r="30" ht="34" customHeight="1">
      <x:c r="A30" s="22" t="str">
        <x:v>TC-023</x:v>
      </x:c>
      <x:c r="B30" s="23" t="str">
        <x:v>Kelola 2D</x:v>
      </x:c>
      <x:c r="C30" s="24" t="str">
        <x:v>Impor GeoJSON dengan koordinat tidak valid</x:v>
      </x:c>
      <x:c r="D30" s="24" t="str">
        <x:v>Impor ditolak dengan pesan koordinat yang jelas</x:v>
      </x:c>
      <x:c r="E30" s="25" t="str"/>
      <x:c r="F30" s="26" t="str">
        <x:v>Not Tested</x:v>
      </x:c>
      <x:c r="G30" s="27" t="str"/>
    </x:row>
    <x:row r="31" ht="34" customHeight="1">
      <x:c r="A31" s="22" t="str">
        <x:v>TC-024</x:v>
      </x:c>
      <x:c r="B31" s="23" t="str">
        <x:v>Kelola 2D</x:v>
      </x:c>
      <x:c r="C31" s="24" t="str">
        <x:v>Klik tombol Peta pada data 2D</x:v>
      </x:c>
      <x:c r="D31" s="24" t="str">
        <x:v>Peta terbuka di mode 2D dengan basemap ESRI dan fly-to</x:v>
      </x:c>
      <x:c r="E31" s="25" t="str"/>
      <x:c r="F31" s="26" t="str">
        <x:v>Not Tested</x:v>
      </x:c>
      <x:c r="G31" s="27" t="str"/>
    </x:row>
    <x:row r="32" ht="34" customHeight="1">
      <x:c r="A32" s="22" t="str">
        <x:v>TC-025</x:v>
      </x:c>
      <x:c r="B32" s="23" t="str">
        <x:v>Kelola 3D</x:v>
      </x:c>
      <x:c r="C32" s="24" t="str">
        <x:v>Impor model 3D yang valid</x:v>
      </x:c>
      <x:c r="D32" s="24" t="str">
        <x:v>Model berhasil diproses dan ditampilkan</x:v>
      </x:c>
      <x:c r="E32" s="25" t="str"/>
      <x:c r="F32" s="26" t="str">
        <x:v>Not Tested</x:v>
      </x:c>
      <x:c r="G32" s="27" t="str"/>
    </x:row>
    <x:row r="33" ht="34" customHeight="1">
      <x:c r="A33" s="22" t="str">
        <x:v>TC-026</x:v>
      </x:c>
      <x:c r="B33" s="23" t="str">
        <x:v>Kelola 3D</x:v>
      </x:c>
      <x:c r="C33" s="24" t="str">
        <x:v>Pindah tab Data Model dan Detail Model</x:v>
      </x:c>
      <x:c r="D33" s="24" t="str">
        <x:v>Komponen berganti tanpa kehilangan data form</x:v>
      </x:c>
      <x:c r="E33" s="25" t="str"/>
      <x:c r="F33" s="26" t="str">
        <x:v>Not Tested</x:v>
      </x:c>
      <x:c r="G33" s="27" t="str"/>
    </x:row>
    <x:row r="34" ht="34" customHeight="1">
      <x:c r="A34" s="22" t="str">
        <x:v>TC-027</x:v>
      </x:c>
      <x:c r="B34" s="23" t="str">
        <x:v>Kelola 3D</x:v>
      </x:c>
      <x:c r="C34" s="24" t="str">
        <x:v>Tutup lalu buka kembali kontrol peta pada mode 3D</x:v>
      </x:c>
      <x:c r="D34" s="24" t="str">
        <x:v>Panel tetap berisi kontrol yang dapat digunakan</x:v>
      </x:c>
      <x:c r="E34" s="25" t="str"/>
      <x:c r="F34" s="26" t="str">
        <x:v>Not Tested</x:v>
      </x:c>
      <x:c r="G34" s="27" t="str"/>
    </x:row>
    <x:row r="35" ht="34" customHeight="1">
      <x:c r="A35" s="22" t="str">
        <x:v>TC-028</x:v>
      </x:c>
      <x:c r="B35" s="23" t="str">
        <x:v>Kelola 3D</x:v>
      </x:c>
      <x:c r="C35" s="24" t="str">
        <x:v>Ganti basemap pada preview model</x:v>
      </x:c>
      <x:c r="D35" s="24" t="str">
        <x:v>Basemap berubah sesuai pilihan</x:v>
      </x:c>
      <x:c r="E35" s="25" t="str"/>
      <x:c r="F35" s="26" t="str">
        <x:v>Not Tested</x:v>
      </x:c>
      <x:c r="G35" s="27" t="str"/>
    </x:row>
    <x:row r="36" ht="34" customHeight="1">
      <x:c r="A36" s="22" t="str">
        <x:v>TC-029</x:v>
      </x:c>
      <x:c r="B36" s="23" t="str">
        <x:v>Peta Publik</x:v>
      </x:c>
      <x:c r="C36" s="24" t="str">
        <x:v>Cari menggunakan kode data yang memiliki koordinat</x:v>
      </x:c>
      <x:c r="D36" s="24" t="str">
        <x:v>Peta fly-to ke koordinat dan popup tampil</x:v>
      </x:c>
      <x:c r="E36" s="25" t="str"/>
      <x:c r="F36" s="26" t="str">
        <x:v>Not Tested</x:v>
      </x:c>
      <x:c r="G36" s="27" t="str"/>
    </x:row>
    <x:row r="37" ht="34" customHeight="1">
      <x:c r="A37" s="22" t="str">
        <x:v>TC-030</x:v>
      </x:c>
      <x:c r="B37" s="23" t="str">
        <x:v>Peta Publik</x:v>
      </x:c>
      <x:c r="C37" s="24" t="str">
        <x:v>Aktifkan mode 2D dan mode 3D bergantian</x:v>
      </x:c>
      <x:c r="D37" s="24" t="str">
        <x:v>Mode berganti langsung tanpa perlu pemicu tambahan</x:v>
      </x:c>
      <x:c r="E37" s="25" t="str"/>
      <x:c r="F37" s="26" t="str">
        <x:v>Not Tested</x:v>
      </x:c>
      <x:c r="G37" s="27" t="str"/>
    </x:row>
    <x:row r="38" ht="34" customHeight="1">
      <x:c r="A38" s="22" t="str">
        <x:v>TC-031</x:v>
      </x:c>
      <x:c r="B38" s="23" t="str">
        <x:v>Peta Publik</x:v>
      </x:c>
      <x:c r="C38" s="24" t="str">
        <x:v>Buka, geser, lalu tutup popup peta</x:v>
      </x:c>
      <x:c r="D38" s="24" t="str">
        <x:v>Popup dapat di-drag dan kontrol tetap stabil</x:v>
      </x:c>
      <x:c r="E38" s="25" t="str"/>
      <x:c r="F38" s="26" t="str">
        <x:v>Not Tested</x:v>
      </x:c>
      <x:c r="G38" s="27" t="str"/>
    </x:row>
    <x:row r="39" ht="34" customHeight="1">
      <x:c r="A39" s="22" t="str">
        <x:v>TC-032</x:v>
      </x:c>
      <x:c r="B39" s="23" t="str">
        <x:v>Upload</x:v>
      </x:c>
      <x:c r="C39" s="24" t="str">
        <x:v>Unggah foto JPG, JPEG, PNG, dan WebP</x:v>
      </x:c>
      <x:c r="D39" s="24" t="str">
        <x:v>Semua format yang didukung berhasil diunggah</x:v>
      </x:c>
      <x:c r="E39" s="25" t="str"/>
      <x:c r="F39" s="26" t="str">
        <x:v>Not Tested</x:v>
      </x:c>
      <x:c r="G39" s="27" t="str"/>
    </x:row>
    <x:row r="40" ht="34" customHeight="1">
      <x:c r="A40" s="22" t="str">
        <x:v>TC-033</x:v>
      </x:c>
      <x:c r="B40" s="23" t="str">
        <x:v>Upload</x:v>
      </x:c>
      <x:c r="C40" s="24" t="str">
        <x:v>Unggah file dengan format atau ukuran tidak valid</x:v>
      </x:c>
      <x:c r="D40" s="24" t="str">
        <x:v>File ditolak dengan pesan validasi</x:v>
      </x:c>
      <x:c r="E40" s="25" t="str"/>
      <x:c r="F40" s="26" t="str">
        <x:v>Not Tested</x:v>
      </x:c>
      <x:c r="G40" s="27" t="str"/>
    </x:row>
    <x:row r="41" ht="34" customHeight="1">
      <x:c r="A41" s="22" t="str">
        <x:v>TC-034</x:v>
      </x:c>
      <x:c r="B41" s="23" t="str">
        <x:v>Penyewaan</x:v>
      </x:c>
      <x:c r="C41" s="24" t="str">
        <x:v>Buka daftar/detail penyewaan dan ajukan permohonan valid</x:v>
      </x:c>
      <x:c r="D41" s="24" t="str">
        <x:v>Data tampil dan permohonan berhasil disimpan</x:v>
      </x:c>
      <x:c r="E41" s="25" t="str"/>
      <x:c r="F41" s="26" t="str">
        <x:v>Not Tested</x:v>
      </x:c>
      <x:c r="G41" s="27" t="str"/>
    </x:row>
    <x:row r="42" ht="34" customHeight="1">
      <x:c r="A42" s="22" t="str">
        <x:v>TC-035</x:v>
      </x:c>
      <x:c r="B42" s="23" t="str">
        <x:v>Penyewaan</x:v>
      </x:c>
      <x:c r="C42" s="24" t="str">
        <x:v>Ajukan permohonan dengan data wajib kosong</x:v>
      </x:c>
      <x:c r="D42" s="24" t="str">
        <x:v>Pengajuan ditolak dengan pesan validasi</x:v>
      </x:c>
      <x:c r="E42" s="25" t="str"/>
      <x:c r="F42" s="26" t="str">
        <x:v>Not Tested</x:v>
      </x:c>
      <x:c r="G42" s="27" t="str"/>
    </x:row>
    <x:row r="43" ht="34" customHeight="1">
      <x:c r="A43" s="22" t="str">
        <x:v>TC-036</x:v>
      </x:c>
      <x:c r="B43" s="23" t="str">
        <x:v>Responsif</x:v>
      </x:c>
      <x:c r="C43" s="24" t="str">
        <x:v>Uji halaman utama pada desktop, tablet, dan ponsel</x:v>
      </x:c>
      <x:c r="D43" s="24" t="str">
        <x:v>Tidak ada elemen terpotong atau scroll horizontal halaman</x:v>
      </x:c>
      <x:c r="E43" s="25" t="str"/>
      <x:c r="F43" s="26" t="str">
        <x:v>Not Tested</x:v>
      </x:c>
      <x:c r="G43" s="27" t="str"/>
    </x:row>
    <x:row r="44" ht="34" customHeight="1">
      <x:c r="A44" s="22" t="str">
        <x:v>TC-037</x:v>
      </x:c>
      <x:c r="B44" s="23" t="str">
        <x:v>Keamanan</x:v>
      </x:c>
      <x:c r="C44" s="24" t="str">
        <x:v>Coba akses API admin menggunakan akun masyarakat</x:v>
      </x:c>
      <x:c r="D44" s="24" t="str">
        <x:v>Server menolak dengan 401 atau 403</x:v>
      </x:c>
      <x:c r="E44" s="25" t="str"/>
      <x:c r="F44" s="26" t="str">
        <x:v>Not Tested</x:v>
      </x:c>
      <x:c r="G44" s="27" t="str"/>
    </x:row>
    <x:row r="45" ht="34" customHeight="1">
      <x:c r="A45" s="22" t="str">
        <x:v>TC-038</x:v>
      </x:c>
      <x:c r="B45" s="23" t="str">
        <x:v>Keamanan</x:v>
      </x:c>
      <x:c r="C45" s="24" t="str">
        <x:v>Kirim input teks berisi karakter HTML/script</x:v>
      </x:c>
      <x:c r="D45" s="24" t="str">
        <x:v>Input tidak dieksekusi sebagai script</x:v>
      </x:c>
      <x:c r="E45" s="25" t="str"/>
      <x:c r="F45" s="26" t="str">
        <x:v>Not Tested</x:v>
      </x:c>
      <x:c r="G45" s="27" t="str"/>
    </x:row>
    <x:row r="46" ht="34" customHeight="1">
      <x:c r="A46" s="22" t="str">
        <x:v>TC-039</x:v>
      </x:c>
      <x:c r="B46" s="23" t="str">
        <x:v>Stabilitas</x:v>
      </x:c>
      <x:c r="C46" s="24" t="str">
        <x:v>Refresh browser pada halaman selain root</x:v>
      </x:c>
      <x:c r="D46" s="24" t="str">
        <x:v>Halaman tetap dapat dibuka dan tidak menjadi 404</x:v>
      </x:c>
      <x:c r="E46" s="25" t="str"/>
      <x:c r="F46" s="26" t="str">
        <x:v>Not Tested</x:v>
      </x:c>
      <x:c r="G46" s="27" t="str"/>
    </x:row>
    <x:row r="47" ht="34" customHeight="1">
      <x:c r="A47" s="28" t="str">
        <x:v>TC-040</x:v>
      </x:c>
      <x:c r="B47" s="29" t="str">
        <x:v>Stabilitas</x:v>
      </x:c>
      <x:c r="C47" s="30" t="str">
        <x:v>Lakukan logout lalu gunakan tombol Back browser</x:v>
      </x:c>
      <x:c r="D47" s="30" t="str">
        <x:v>Halaman privat tidak dapat diakses kembali</x:v>
      </x:c>
      <x:c r="E47" s="31" t="str"/>
      <x:c r="F47" s="32" t="str">
        <x:v>Not Tested</x:v>
      </x:c>
      <x:c r="G47" s="33" t="str"/>
    </x:row>
  </x:sheetData>
  <x:mergeCells>
    <x:mergeCell ref="A1:G1"/>
    <x:mergeCell ref="A6:G6"/>
  </x:mergeCells>
  <x:conditionalFormatting sqref="F8:F47">
    <x:cfRule type="containsText" dxfId="0" priority="1" operator="containsText" text="Passed"/>
    <x:cfRule type="containsText" dxfId="1" priority="2" operator="containsText" text="Failed"/>
    <x:cfRule type="containsText" dxfId="2" priority="3" operator="containsText" text="Blocked"/>
  </x:conditionalFormatting>
  <x:dataValidations count="1">
    <x:dataValidation type="list" sqref="F8:F47">
      <x:formula1>"Not Tested,Passed,Failed,Blocked"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637b68be405453f"/>
  </x:tableParts>
</x:worksheet>
</file>