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WEBSITE\Bhumi-Satya\outputs\whitebox-testing-bhumi-satya\"/>
    </mc:Choice>
  </mc:AlternateContent>
  <xr:revisionPtr revIDLastSave="0" documentId="13_ncr:1_{00DDE436-2D08-436B-8314-4B353D4A1D54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Whitebox 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D4" i="1"/>
  <c r="C4" i="1"/>
  <c r="B4" i="1"/>
  <c r="A4" i="1"/>
</calcChain>
</file>

<file path=xl/sharedStrings.xml><?xml version="1.0" encoding="utf-8"?>
<sst xmlns="http://schemas.openxmlformats.org/spreadsheetml/2006/main" count="104" uniqueCount="78">
  <si>
    <t>WHITEBOX TESTING — BHUMI SATYA</t>
  </si>
  <si>
    <t>Total</t>
  </si>
  <si>
    <t>Passed</t>
  </si>
  <si>
    <t>Failed</t>
  </si>
  <si>
    <t>Blocked</t>
  </si>
  <si>
    <t>Not Tested</t>
  </si>
  <si>
    <t>Isi Hasil Aktual, pilih Status, lalu tambahkan Catatan bila diperlukan.</t>
  </si>
  <si>
    <t>ID</t>
  </si>
  <si>
    <t>Modul</t>
  </si>
  <si>
    <t>Skenario Pengujian</t>
  </si>
  <si>
    <t>Hasil Diharapkan</t>
  </si>
  <si>
    <t>Hasil Aktual</t>
  </si>
  <si>
    <t>Status</t>
  </si>
  <si>
    <t>Catatan</t>
  </si>
  <si>
    <t>WT-001</t>
  </si>
  <si>
    <t>Hak Akses</t>
  </si>
  <si>
    <t>Uji normalizeRole dengan nilai ' ADMIN ' dan kosong</t>
  </si>
  <si>
    <t>Role menjadi admin; nilai kosong menjadi string kosong</t>
  </si>
  <si>
    <t>WT-002</t>
  </si>
  <si>
    <t>Uji canAccessMenu untuk role admin</t>
  </si>
  <si>
    <t>Admin dapat mengakses seluruh menu pengelolaan</t>
  </si>
  <si>
    <t>WT-003</t>
  </si>
  <si>
    <t>Uji canAccessMenu masyarakat ke menu internal</t>
  </si>
  <si>
    <t>Akses dashboard dan menu pengelolaan ditolak</t>
  </si>
  <si>
    <t>WT-004</t>
  </si>
  <si>
    <t>Router</t>
  </si>
  <si>
    <t>Uji HomeRedirect untuk masyarakat dan admin</t>
  </si>
  <si>
    <t>Masyarakat ke halaman penyewaan; admin ke dashboard</t>
  </si>
  <si>
    <t>WT-005</t>
  </si>
  <si>
    <t>Registrasi</t>
  </si>
  <si>
    <t>Panggil register dengan field wajib kosong</t>
  </si>
  <si>
    <t>Status 400 dan pesan validasi dikembalikan</t>
  </si>
  <si>
    <t>WT-006</t>
  </si>
  <si>
    <t>Panggil register dengan username atau email duplikat</t>
  </si>
  <si>
    <t>Status 400 dan data duplikat tidak disimpan</t>
  </si>
  <si>
    <t>WT-007</t>
  </si>
  <si>
    <t>Panggil register dengan seluruh data valid</t>
  </si>
  <si>
    <t>Pengguna tersimpan dengan role masyarakat</t>
  </si>
  <si>
    <t>WT-008</t>
  </si>
  <si>
    <t>Login</t>
  </si>
  <si>
    <t>Panggil login menggunakan password yang salah</t>
  </si>
  <si>
    <t>Login ditolak dan token tidak dibuat</t>
  </si>
  <si>
    <t>WT-009</t>
  </si>
  <si>
    <t>Panggil login masyarakat dengan kredensial valid</t>
  </si>
  <si>
    <t>Token dan data pengguna dikembalikan tanpa OTP</t>
  </si>
  <si>
    <t>WT-010</t>
  </si>
  <si>
    <t>Autentikasi</t>
  </si>
  <si>
    <t>Jalankan authMiddleware tanpa Bearer token</t>
  </si>
  <si>
    <t>Status 401 dan next tidak dipanggil</t>
  </si>
  <si>
    <t>WT-011</t>
  </si>
  <si>
    <t>Jalankan authMiddleware menggunakan JWT valid</t>
  </si>
  <si>
    <t>req.user terisi dan next dipanggil</t>
  </si>
  <si>
    <t>WT-012</t>
  </si>
  <si>
    <t>Otorisasi</t>
  </si>
  <si>
    <t>Jalankan roleMiddleware masyarakat pada API admin</t>
  </si>
  <si>
    <t>Status 403 dan controller tidak dijalankan</t>
  </si>
  <si>
    <t>WT-013</t>
  </si>
  <si>
    <t>Polygon</t>
  </si>
  <si>
    <t>Hitung centroid polygon WGS84 yang valid</t>
  </si>
  <si>
    <t>Longitude dan latitude centroid dihitung benar</t>
  </si>
  <si>
    <t>WT-014</t>
  </si>
  <si>
    <t>Proses JSON rusak dan koordinat di luar batas</t>
  </si>
  <si>
    <t>Fungsi tidak crash dan mengembalikan nilai aman</t>
  </si>
  <si>
    <t>WT-015</t>
  </si>
  <si>
    <t>Upload</t>
  </si>
  <si>
    <t>Validasi foto kondisi JPG dan WebP</t>
  </si>
  <si>
    <t>Kedua format diterima</t>
  </si>
  <si>
    <t>WT-016</t>
  </si>
  <si>
    <t>Validasi file berbahaya atau MIME tidak cocok</t>
  </si>
  <si>
    <t>File ditolak oleh validator</t>
  </si>
  <si>
    <t>WT-017</t>
  </si>
  <si>
    <t>API Client</t>
  </si>
  <si>
    <t>Simulasikan respons 401 pada interceptor API</t>
  </si>
  <si>
    <t>Sesi dibersihkan dan pengguna diarahkan ke login</t>
  </si>
  <si>
    <t>WT-018</t>
  </si>
  <si>
    <t>Panel Login</t>
  </si>
  <si>
    <t>Simulasikan registrasi berhasil dari tab Daftar</t>
  </si>
  <si>
    <t>Tab berpindah ke Masuk dan kredensial terisi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</si>
</sst>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7"/>
      <color rgb="FFFFFFFF"/>
      <name val="Carlito"/>
    </font>
    <font>
      <b/>
      <sz val="11"/>
      <color rgb="FFFFFFFF"/>
      <name val="Carlito"/>
    </font>
    <font>
      <b/>
      <sz val="11"/>
      <color rgb="FF17324D"/>
      <name val="Carlito"/>
    </font>
    <font>
      <i/>
      <sz val="11"/>
      <color rgb="FF9A6700"/>
      <name val="Carlito"/>
    </font>
    <font>
      <sz val="10"/>
      <color rgb="FF243B53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23F46"/>
      </patternFill>
    </fill>
    <fill>
      <patternFill patternType="solid">
        <fgColor rgb="FF17877D"/>
      </patternFill>
    </fill>
    <fill>
      <patternFill patternType="solid">
        <fgColor rgb="FFE2F3F0"/>
      </patternFill>
    </fill>
    <fill>
      <patternFill patternType="solid">
        <fgColor rgb="FFFFF4CC"/>
      </patternFill>
    </fill>
    <fill>
      <patternFill patternType="solid">
        <fgColor rgb="FF0B5F7D"/>
      </patternFill>
    </fill>
    <fill>
      <patternFill patternType="solid">
        <fgColor rgb="FFC9EAF5"/>
      </patternFill>
    </fill>
    <fill>
      <patternFill patternType="solid">
        <fgColor rgb="FFFFF9E5"/>
      </patternFill>
    </fill>
    <fill>
      <patternFill patternType="solid">
        <fgColor rgb="FFDCEAF6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B6D7E5"/>
      </left>
      <right style="thin">
        <color rgb="FFB6D7E5"/>
      </right>
      <top style="thin">
        <color rgb="FFB6D7E5"/>
      </top>
      <bottom style="thin">
        <color rgb="FFB6D7E5"/>
      </bottom>
      <diagonal/>
    </border>
    <border>
      <left/>
      <right/>
      <top/>
      <bottom style="thin">
        <color rgb="FFCBDDE5"/>
      </bottom>
      <diagonal/>
    </border>
    <border>
      <left/>
      <right/>
      <top style="thin">
        <color rgb="FFCBDDE5"/>
      </top>
      <bottom style="thin">
        <color rgb="FFCBDDE5"/>
      </bottom>
      <diagonal/>
    </border>
    <border>
      <left/>
      <right/>
      <top style="thin">
        <color rgb="FFCBDDE5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6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vertical="top" wrapText="1"/>
    </xf>
    <xf numFmtId="0" fontId="5" fillId="9" borderId="2" xfId="0" applyFont="1" applyFill="1" applyBorder="1" applyAlignment="1">
      <alignment vertical="top" wrapText="1"/>
    </xf>
    <xf numFmtId="0" fontId="5" fillId="10" borderId="3" xfId="0" applyFont="1" applyFill="1" applyBorder="1" applyAlignment="1">
      <alignment vertical="top" wrapText="1"/>
    </xf>
    <xf numFmtId="0" fontId="5" fillId="8" borderId="3" xfId="0" applyFont="1" applyFill="1" applyBorder="1" applyAlignment="1">
      <alignment vertical="top" wrapText="1"/>
    </xf>
    <xf numFmtId="0" fontId="5" fillId="9" borderId="3" xfId="0" applyFont="1" applyFill="1" applyBorder="1" applyAlignment="1">
      <alignment vertical="top" wrapText="1"/>
    </xf>
    <xf numFmtId="0" fontId="5" fillId="7" borderId="3" xfId="0" applyFont="1" applyFill="1" applyBorder="1" applyAlignment="1">
      <alignment vertical="top" wrapText="1"/>
    </xf>
    <xf numFmtId="0" fontId="5" fillId="10" borderId="4" xfId="0" applyFont="1" applyFill="1" applyBorder="1" applyAlignment="1">
      <alignment vertical="top" wrapText="1"/>
    </xf>
    <xf numFmtId="0" fontId="5" fillId="8" borderId="4" xfId="0" applyFont="1" applyFill="1" applyBorder="1" applyAlignment="1">
      <alignment vertical="top" wrapText="1"/>
    </xf>
    <xf numFmtId="0" fontId="5" fillId="9" borderId="4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4" fillId="5" borderId="0" xfId="0" applyFont="1" applyFill="1" applyAlignment="1">
      <alignment vertical="center"/>
    </xf>
  </cellXfs>
  <cellStyles count="1">
    <cellStyle name="Normal" xfId="0" builtinId="0"/>
  </cellStyles>
  <dxfs count="3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hiteboxTests" displayName="WhiteboxTests" ref="A7:G25" totalsRowShown="0">
  <autoFilter ref="A7:G25" xr:uid="{00000000-0009-0000-0100-000001000000}"/>
  <tableColumns count="7">
    <tableColumn id="1" xr3:uid="{00000000-0010-0000-0000-000001000000}" name="ID"/>
    <tableColumn id="2" xr3:uid="{00000000-0010-0000-0000-000002000000}" name="Modul"/>
    <tableColumn id="3" xr3:uid="{00000000-0010-0000-0000-000003000000}" name="Skenario Pengujian"/>
    <tableColumn id="4" xr3:uid="{00000000-0010-0000-0000-000004000000}" name="Hasil Diharapkan"/>
    <tableColumn id="5" xr3:uid="{00000000-0010-0000-0000-000005000000}" name="Hasil Aktual"/>
    <tableColumn id="6" xr3:uid="{00000000-0010-0000-0000-000006000000}" name="Status"/>
    <tableColumn id="7" xr3:uid="{00000000-0010-0000-0000-000007000000}" name="Cat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tabSelected="1" workbookViewId="0">
      <selection activeCell="C9" sqref="C9"/>
    </sheetView>
  </sheetViews>
  <sheetFormatPr defaultRowHeight="14.4"/>
  <cols>
    <col min="1" max="1" width="11" customWidth="1"/>
    <col min="2" max="2" width="18" customWidth="1"/>
    <col min="3" max="3" width="42" customWidth="1"/>
    <col min="4" max="4" width="46.109375" customWidth="1"/>
    <col min="5" max="5" width="18.6640625" customWidth="1"/>
    <col min="6" max="6" width="15" customWidth="1"/>
    <col min="7" max="7" width="28" customWidth="1"/>
  </cols>
  <sheetData>
    <row r="1" spans="1:7" ht="34.049999999999997" customHeight="1">
      <c r="A1" s="14" t="s">
        <v>0</v>
      </c>
      <c r="B1" s="14"/>
      <c r="C1" s="14"/>
      <c r="D1" s="14"/>
      <c r="E1" s="14"/>
      <c r="F1" s="14"/>
      <c r="G1" s="14"/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7">
      <c r="A4" s="2">
        <f>COUNTA(A8:A25)</f>
        <v>18</v>
      </c>
      <c r="B4" s="2">
        <f>COUNTIF(F8:F25,"Passed")</f>
        <v>0</v>
      </c>
      <c r="C4" s="2">
        <f>COUNTIF(F8:F25,"Failed")</f>
        <v>0</v>
      </c>
      <c r="D4" s="2">
        <f>COUNTIF(F8:F25,"Blocked")</f>
        <v>0</v>
      </c>
      <c r="E4" s="2">
        <f>COUNTIF(F8:F25,"Not Tested")</f>
        <v>18</v>
      </c>
    </row>
    <row r="6" spans="1:7">
      <c r="A6" s="15" t="s">
        <v>6</v>
      </c>
      <c r="B6" s="15"/>
      <c r="C6" s="15"/>
      <c r="D6" s="15"/>
      <c r="E6" s="15"/>
      <c r="F6" s="15"/>
      <c r="G6" s="15"/>
    </row>
    <row r="7" spans="1:7" ht="28" customHeight="1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</row>
    <row r="8" spans="1:7">
      <c r="A8" s="4" t="s">
        <v>14</v>
      </c>
      <c r="B8" s="4" t="s">
        <v>15</v>
      </c>
      <c r="C8" s="4" t="s">
        <v>16</v>
      </c>
      <c r="D8" s="4" t="s">
        <v>17</v>
      </c>
      <c r="E8" s="5"/>
      <c r="F8" s="6" t="s">
        <v>5</v>
      </c>
      <c r="G8" s="5"/>
    </row>
    <row r="9" spans="1:7">
      <c r="A9" s="7" t="s">
        <v>18</v>
      </c>
      <c r="B9" s="7" t="s">
        <v>15</v>
      </c>
      <c r="C9" s="7" t="s">
        <v>19</v>
      </c>
      <c r="D9" s="7" t="s">
        <v>20</v>
      </c>
      <c r="E9" s="8"/>
      <c r="F9" s="9" t="s">
        <v>5</v>
      </c>
      <c r="G9" s="8"/>
    </row>
    <row r="10" spans="1:7">
      <c r="A10" s="10" t="s">
        <v>21</v>
      </c>
      <c r="B10" s="10" t="s">
        <v>15</v>
      </c>
      <c r="C10" s="10" t="s">
        <v>22</v>
      </c>
      <c r="D10" s="10" t="s">
        <v>23</v>
      </c>
      <c r="E10" s="8"/>
      <c r="F10" s="9" t="s">
        <v>5</v>
      </c>
      <c r="G10" s="8"/>
    </row>
    <row r="11" spans="1:7">
      <c r="A11" s="7" t="s">
        <v>24</v>
      </c>
      <c r="B11" s="7" t="s">
        <v>25</v>
      </c>
      <c r="C11" s="7" t="s">
        <v>26</v>
      </c>
      <c r="D11" s="7" t="s">
        <v>27</v>
      </c>
      <c r="E11" s="8"/>
      <c r="F11" s="9" t="s">
        <v>5</v>
      </c>
      <c r="G11" s="8"/>
    </row>
    <row r="12" spans="1:7">
      <c r="A12" s="10" t="s">
        <v>28</v>
      </c>
      <c r="B12" s="10" t="s">
        <v>29</v>
      </c>
      <c r="C12" s="10" t="s">
        <v>30</v>
      </c>
      <c r="D12" s="10" t="s">
        <v>31</v>
      </c>
      <c r="E12" s="8"/>
      <c r="F12" s="9" t="s">
        <v>5</v>
      </c>
      <c r="G12" s="8"/>
    </row>
    <row r="13" spans="1:7">
      <c r="A13" s="7" t="s">
        <v>32</v>
      </c>
      <c r="B13" s="7" t="s">
        <v>29</v>
      </c>
      <c r="C13" s="7" t="s">
        <v>33</v>
      </c>
      <c r="D13" s="7" t="s">
        <v>34</v>
      </c>
      <c r="E13" s="8"/>
      <c r="F13" s="9" t="s">
        <v>5</v>
      </c>
      <c r="G13" s="8"/>
    </row>
    <row r="14" spans="1:7">
      <c r="A14" s="10" t="s">
        <v>35</v>
      </c>
      <c r="B14" s="10" t="s">
        <v>29</v>
      </c>
      <c r="C14" s="10" t="s">
        <v>36</v>
      </c>
      <c r="D14" s="10" t="s">
        <v>37</v>
      </c>
      <c r="E14" s="8"/>
      <c r="F14" s="9" t="s">
        <v>5</v>
      </c>
      <c r="G14" s="8"/>
    </row>
    <row r="15" spans="1:7">
      <c r="A15" s="7" t="s">
        <v>38</v>
      </c>
      <c r="B15" s="7" t="s">
        <v>39</v>
      </c>
      <c r="C15" s="7" t="s">
        <v>40</v>
      </c>
      <c r="D15" s="7" t="s">
        <v>41</v>
      </c>
      <c r="E15" s="8"/>
      <c r="F15" s="9" t="s">
        <v>5</v>
      </c>
      <c r="G15" s="8"/>
    </row>
    <row r="16" spans="1:7">
      <c r="A16" s="10" t="s">
        <v>42</v>
      </c>
      <c r="B16" s="10" t="s">
        <v>39</v>
      </c>
      <c r="C16" s="10" t="s">
        <v>43</v>
      </c>
      <c r="D16" s="10" t="s">
        <v>44</v>
      </c>
      <c r="E16" s="8"/>
      <c r="F16" s="9" t="s">
        <v>5</v>
      </c>
      <c r="G16" s="8"/>
    </row>
    <row r="17" spans="1:7">
      <c r="A17" s="7" t="s">
        <v>45</v>
      </c>
      <c r="B17" s="7" t="s">
        <v>46</v>
      </c>
      <c r="C17" s="7" t="s">
        <v>47</v>
      </c>
      <c r="D17" s="7" t="s">
        <v>48</v>
      </c>
      <c r="E17" s="8"/>
      <c r="F17" s="9" t="s">
        <v>5</v>
      </c>
      <c r="G17" s="8"/>
    </row>
    <row r="18" spans="1:7">
      <c r="A18" s="10" t="s">
        <v>49</v>
      </c>
      <c r="B18" s="10" t="s">
        <v>46</v>
      </c>
      <c r="C18" s="10" t="s">
        <v>50</v>
      </c>
      <c r="D18" s="10" t="s">
        <v>51</v>
      </c>
      <c r="E18" s="8"/>
      <c r="F18" s="9" t="s">
        <v>5</v>
      </c>
      <c r="G18" s="8"/>
    </row>
    <row r="19" spans="1:7">
      <c r="A19" s="7" t="s">
        <v>52</v>
      </c>
      <c r="B19" s="7" t="s">
        <v>53</v>
      </c>
      <c r="C19" s="7" t="s">
        <v>54</v>
      </c>
      <c r="D19" s="7" t="s">
        <v>55</v>
      </c>
      <c r="E19" s="8"/>
      <c r="F19" s="9" t="s">
        <v>5</v>
      </c>
      <c r="G19" s="8"/>
    </row>
    <row r="20" spans="1:7">
      <c r="A20" s="10" t="s">
        <v>56</v>
      </c>
      <c r="B20" s="10" t="s">
        <v>57</v>
      </c>
      <c r="C20" s="10" t="s">
        <v>58</v>
      </c>
      <c r="D20" s="10" t="s">
        <v>59</v>
      </c>
      <c r="E20" s="8"/>
      <c r="F20" s="9" t="s">
        <v>5</v>
      </c>
      <c r="G20" s="8"/>
    </row>
    <row r="21" spans="1:7">
      <c r="A21" s="7" t="s">
        <v>60</v>
      </c>
      <c r="B21" s="7" t="s">
        <v>57</v>
      </c>
      <c r="C21" s="7" t="s">
        <v>61</v>
      </c>
      <c r="D21" s="7" t="s">
        <v>62</v>
      </c>
      <c r="E21" s="8"/>
      <c r="F21" s="9" t="s">
        <v>5</v>
      </c>
      <c r="G21" s="8"/>
    </row>
    <row r="22" spans="1:7">
      <c r="A22" s="10" t="s">
        <v>63</v>
      </c>
      <c r="B22" s="10" t="s">
        <v>64</v>
      </c>
      <c r="C22" s="10" t="s">
        <v>65</v>
      </c>
      <c r="D22" s="10" t="s">
        <v>66</v>
      </c>
      <c r="E22" s="8"/>
      <c r="F22" s="9" t="s">
        <v>5</v>
      </c>
      <c r="G22" s="8"/>
    </row>
    <row r="23" spans="1:7">
      <c r="A23" s="7" t="s">
        <v>67</v>
      </c>
      <c r="B23" s="7" t="s">
        <v>64</v>
      </c>
      <c r="C23" s="7" t="s">
        <v>68</v>
      </c>
      <c r="D23" s="7" t="s">
        <v>69</v>
      </c>
      <c r="E23" s="8"/>
      <c r="F23" s="9" t="s">
        <v>5</v>
      </c>
      <c r="G23" s="8"/>
    </row>
    <row r="24" spans="1:7">
      <c r="A24" s="10" t="s">
        <v>70</v>
      </c>
      <c r="B24" s="10" t="s">
        <v>71</v>
      </c>
      <c r="C24" s="10" t="s">
        <v>72</v>
      </c>
      <c r="D24" s="10" t="s">
        <v>73</v>
      </c>
      <c r="E24" s="8"/>
      <c r="F24" s="9" t="s">
        <v>5</v>
      </c>
      <c r="G24" s="8"/>
    </row>
    <row r="25" spans="1:7">
      <c r="A25" s="11" t="s">
        <v>74</v>
      </c>
      <c r="B25" s="11" t="s">
        <v>75</v>
      </c>
      <c r="C25" s="11" t="s">
        <v>76</v>
      </c>
      <c r="D25" s="11" t="s">
        <v>77</v>
      </c>
      <c r="E25" s="12"/>
      <c r="F25" s="13" t="s">
        <v>5</v>
      </c>
      <c r="G25" s="12"/>
    </row>
  </sheetData>
  <mergeCells count="2">
    <mergeCell ref="A1:G1"/>
    <mergeCell ref="A6:G6"/>
  </mergeCells>
  <conditionalFormatting sqref="F8:F25">
    <cfRule type="containsText" dxfId="2" priority="1" operator="containsText" text="Passed"/>
    <cfRule type="containsText" dxfId="1" priority="2" operator="containsText" text="Failed"/>
    <cfRule type="containsText" dxfId="0" priority="3" operator="containsText" text="Blocked"/>
  </conditionalFormatting>
  <dataValidations count="1">
    <dataValidation type="list" sqref="F8:F25" xr:uid="{00000000-0002-0000-0000-000000000000}">
      <formula1>"Not Tested,Passed,Failed,Blocked"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Whitebox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Rizky Lanang</cp:lastModifiedBy>
  <dcterms:modified xsi:type="dcterms:W3CDTF">2026-08-04T01:22:29Z</dcterms:modified>
</cp:coreProperties>
</file>