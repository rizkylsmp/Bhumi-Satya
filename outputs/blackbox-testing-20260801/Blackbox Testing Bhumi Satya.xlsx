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ed579444a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022fc90827484359"/>
    <x:sheet xmlns:r="http://schemas.openxmlformats.org/officeDocument/2006/relationships" name="Test Cases" sheetId="2" r:id="R895d71e43b344393"/>
    <x:sheet xmlns:r="http://schemas.openxmlformats.org/officeDocument/2006/relationships" name="Bug Report" sheetId="3" r:id="R622d7b04697544c7"/>
    <x:sheet xmlns:r="http://schemas.openxmlformats.org/officeDocument/2006/relationships" name="Test Summary" sheetId="4" r:id="Rff4fa403308846fe"/>
    <x:sheet xmlns:r="http://schemas.openxmlformats.org/officeDocument/2006/relationships" name="Test Data" sheetId="5" r:id="R8fdafc30f72b4edc"/>
    <x:sheet xmlns:r="http://schemas.openxmlformats.org/officeDocument/2006/relationships" name="Referensi" sheetId="6" r:id="R8eac82c2d522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2343B"/>
      <x:name val="Carlito"/>
    </x:font>
    <x:font>
      <x:b/>
      <x:sz val="13"/>
      <x:color rgb="FFFFFFFF"/>
      <x:name val="Carlito"/>
    </x:font>
    <x:font>
      <x:sz val="11"/>
      <x:color rgb="FF0F172A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sz val="10"/>
      <x:color rgb="FF0F172A"/>
      <x:name val="Carlito"/>
    </x:font>
    <x:font>
      <x:i/>
      <x:sz val="11"/>
      <x:color rgb="FF7F1D1D"/>
      <x:name val="Carlito"/>
    </x:font>
    <x:font>
      <x:b/>
      <x:sz val="11"/>
      <x:color rgb="FF991B1B"/>
      <x:name val="Carlito"/>
    </x:font>
    <x:font>
      <x:b/>
      <x:sz val="11"/>
      <x:color rgb="FF0F172A"/>
      <x:name val="Carlito"/>
    </x:font>
    <x:font>
      <x:b/>
      <x:sz val="14"/>
      <x:color rgb="FF12343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FEE2E2"/>
      </x:patternFill>
    </x:fill>
    <x:fill>
      <x:patternFill patternType="solid">
        <x:fgColor rgb="FFECFDF5"/>
      </x:patternFill>
    </x:fill>
  </x:fills>
  <x:borders count="12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200" fontId="8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center"/>
    </x:xf>
    <x:xf numFmtId="201" fontId="12" fillId="9" borderId="0" xfId="0" applyNumberFormat="1" applyFont="1" applyFill="1" applyBorder="1" applyAlignment="1">
      <x:alignment horizontal="center"/>
    </x:xf>
    <x:xf numFmtId="0" fontId="1" fillId="4" borderId="9" xfId="0" applyNumberFormat="1" applyFont="1" applyFill="1" applyBorder="1"/>
    <x:xf numFmtId="0" fontId="1" fillId="4" borderId="7" xfId="0" applyNumberFormat="1" applyFont="1" applyFill="1" applyBorder="1"/>
    <x:xf numFmtId="0" fontId="11" fillId="5" borderId="10" xfId="0" applyNumberFormat="1" applyFont="1" applyFill="1" applyBorder="1"/>
    <x:xf numFmtId="0" fontId="12" fillId="9" borderId="11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/>
    <x:xf numFmtId="201" fontId="12" fillId="9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a576ef3d14676" /><Relationship Type="http://schemas.openxmlformats.org/officeDocument/2006/relationships/theme" Target="/xl/theme/theme1.xml" Id="R504a2883b6754b1d" /><Relationship Type="http://schemas.openxmlformats.org/officeDocument/2006/relationships/sharedStrings" Target="/xl/sharedStrings.xml" Id="R644c25143d08411c" /><Relationship Type="http://schemas.openxmlformats.org/officeDocument/2006/relationships/worksheet" Target="/xl/worksheets/sheet1.xml" Id="R022fc90827484359" /><Relationship Type="http://schemas.openxmlformats.org/officeDocument/2006/relationships/worksheet" Target="/xl/worksheets/sheet2.xml" Id="R895d71e43b344393" /><Relationship Type="http://schemas.openxmlformats.org/officeDocument/2006/relationships/worksheet" Target="/xl/worksheets/sheet3.xml" Id="R622d7b04697544c7" /><Relationship Type="http://schemas.openxmlformats.org/officeDocument/2006/relationships/worksheet" Target="/xl/worksheets/sheet4.xml" Id="Rff4fa403308846fe" /><Relationship Type="http://schemas.openxmlformats.org/officeDocument/2006/relationships/worksheet" Target="/xl/worksheets/sheet5.xml" Id="R8fdafc30f72b4edc" /><Relationship Type="http://schemas.openxmlformats.org/officeDocument/2006/relationships/worksheet" Target="/xl/worksheets/sheet6.xml" Id="R8eac82c2d52240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a2d4afacd648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Eksekusi Test</a:t>
            </a:r>
          </a:p>
        </c:rich>
      </c:tx>
      <c:overlay val="0"/>
    </c:title>
    <c:plotArea>
      <c:doughnutChart>
        <c:ser>
          <c:idx val="0"/>
          <c:order val="0"/>
          <c:tx>
            <c:v>Jumlah</c:v>
          </c:tx>
          <c:cat>
            <c:strRef>
              <c:f>'Test Summary'!$D$5:$D$8</c:f>
              <c:strCache>
                <c:ptCount val="0"/>
              </c:strCache>
            </c:strRef>
          </c:cat>
          <c:val>
            <c:numRef>
              <c:f>'Test Summary'!$E$5:$E$8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a2d4afacd648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lackboxTestCases" displayName="BlackboxTestCases" ref="A5:N210" headerRowCount="1" totalsRowCount="0" totalsRowShown="0">
  <x:autoFilter ref="A5:N210"/>
  <x:tableColumns count="14">
    <x:tableColumn id="1" name="Test ID"/>
    <x:tableColumn id="2" name="Modul"/>
    <x:tableColumn id="3" name="Jenis Test"/>
    <x:tableColumn id="4" name="Skenario"/>
    <x:tableColumn id="5" name="Prasyarat"/>
    <x:tableColumn id="6" name="Langkah Pengujian"/>
    <x:tableColumn id="7" name="Hasil Diharapkan"/>
    <x:tableColumn id="8" name="Hasil Aktual"/>
    <x:tableColumn id="9" name="Status"/>
    <x:tableColumn id="10" name="Severity"/>
    <x:tableColumn id="11" name="Tester"/>
    <x:tableColumn id="12" name="Tanggal"/>
    <x:tableColumn id="13" name="Bukti / Link"/>
    <x:tableColumn id="14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ackboxBugReport" displayName="BlackboxBugReport" ref="A5:L55" headerRowCount="1" totalsRowCount="0" totalsRowShown="0">
  <x:autoFilter ref="A5:L55"/>
  <x:tableColumns count="12">
    <x:tableColumn id="1" name="Bug ID"/>
    <x:tableColumn id="2" name="Test ID"/>
    <x:tableColumn id="3" name="Judul Masalah"/>
    <x:tableColumn id="4" name="Langkah Reproduksi"/>
    <x:tableColumn id="5" name="Expected"/>
    <x:tableColumn id="6" name="Actual"/>
    <x:tableColumn id="7" name="Severity"/>
    <x:tableColumn id="8" name="Status Bug"/>
    <x:tableColumn id="9" name="PIC"/>
    <x:tableColumn id="10" name="Tanggal Temuan"/>
    <x:tableColumn id="11" name="Bukti / Link"/>
    <x:tableColumn id="12" name="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ackboxTestData" displayName="BlackboxTestData" ref="A5:G12" headerRowCount="1" totalsRowCount="0" totalsRowShown="0">
  <x:tableColumns count="7">
    <x:tableColumn id="1" name="Data ID"/>
    <x:tableColumn id="2" name="Kategori"/>
    <x:tableColumn id="3" name="Identifier / Kode"/>
    <x:tableColumn id="4" name="Role"/>
    <x:tableColumn id="5" name="Tujuan"/>
    <x:tableColumn id="6" name="Boleh Dibersihkan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8cdd6d458141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d6e80f3710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e66704cb74c49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335b9343ba744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5" t="str">
        <x:v>BLACKBOX TESTING — BHUMI SATYA</x:v>
      </x:c>
      <x:c r="B1" s="15" t="str">
        <x:v>BLACKBOX TESTING — BHUMI SATYA</x:v>
      </x:c>
      <x:c r="C1" s="15" t="str">
        <x:v>BLACKBOX TESTING — BHUMI SATYA</x:v>
      </x:c>
      <x:c r="D1" s="15" t="str">
        <x:v>BLACKBOX TESTING — BHUMI SATYA</x:v>
      </x:c>
      <x:c r="E1" s="15" t="str">
        <x:v>BLACKBOX TESTING — BHUMI SATYA</x:v>
      </x:c>
      <x:c r="F1" s="15" t="str">
        <x:v>BLACKBOX TESTING — BHUMI SATYA</x:v>
      </x:c>
      <x:c r="G1" s="15" t="str">
        <x:v>BLACKBOX TESTING — BHUMI SATYA</x:v>
      </x:c>
      <x:c r="H1" s="15" t="str">
        <x:v>BLACKBOX TESTING — BHUMI SATYA</x:v>
      </x:c>
    </x:row>
    <x:row r="2">
      <x:c r="A2" s="15" t="str">
        <x:v>BLACKBOX TESTING — BHUMI SATYA</x:v>
      </x:c>
      <x:c r="B2" s="15" t="str">
        <x:v>BLACKBOX TESTING — BHUMI SATYA</x:v>
      </x:c>
      <x:c r="C2" s="15" t="str">
        <x:v>BLACKBOX TESTING — BHUMI SATYA</x:v>
      </x:c>
      <x:c r="D2" s="15" t="str">
        <x:v>BLACKBOX TESTING — BHUMI SATYA</x:v>
      </x:c>
      <x:c r="E2" s="15" t="str">
        <x:v>BLACKBOX TESTING — BHUMI SATYA</x:v>
      </x:c>
      <x:c r="F2" s="15" t="str">
        <x:v>BLACKBOX TESTING — BHUMI SATYA</x:v>
      </x:c>
      <x:c r="G2" s="15" t="str">
        <x:v>BLACKBOX TESTING — BHUMI SATYA</x:v>
      </x:c>
      <x:c r="H2" s="15" t="str">
        <x:v>BLACKBOX TESTING — BHUMI SATYA</x:v>
      </x:c>
    </x:row>
    <x:row r="4">
      <x:c r="A4" s="27" t="str">
        <x:v>Target</x:v>
      </x:c>
      <x:c r="B4" s="28" t="str">
        <x:v>https://bhumisatya.web.id</x:v>
      </x:c>
      <x:c r="C4" s="28"/>
      <x:c r="D4" s="28"/>
      <x:c r="E4" s="28"/>
      <x:c r="F4" s="28"/>
      <x:c r="G4" s="28"/>
      <x:c r="H4" s="28"/>
    </x:row>
    <x:row r="5">
      <x:c r="A5" s="27" t="str">
        <x:v>Jenis</x:v>
      </x:c>
      <x:c r="B5" s="28" t="str">
        <x:v>Blackbox functional, validation, compatibility, usability, performance, dan security dasar</x:v>
      </x:c>
      <x:c r="C5" s="28"/>
      <x:c r="D5" s="28"/>
      <x:c r="E5" s="28"/>
      <x:c r="F5" s="28"/>
      <x:c r="G5" s="28"/>
      <x:c r="H5" s="28"/>
    </x:row>
    <x:row r="6">
      <x:c r="A6" s="27" t="str">
        <x:v>Lingkungan</x:v>
      </x:c>
      <x:c r="B6" s="28" t="str">
        <x:v>Production — gunakan akun dan data khusus QA</x:v>
      </x:c>
      <x:c r="C6" s="28"/>
      <x:c r="D6" s="28"/>
      <x:c r="E6" s="28"/>
      <x:c r="F6" s="28"/>
      <x:c r="G6" s="28"/>
      <x:c r="H6" s="28"/>
    </x:row>
    <x:row r="7">
      <x:c r="A7" s="27" t="str">
        <x:v>Tanggal dibuat</x:v>
      </x:c>
      <x:c r="B7" s="29" t="n">
        <x:v>46235</x:v>
      </x:c>
      <x:c r="C7" s="28"/>
      <x:c r="D7" s="28"/>
      <x:c r="E7" s="28"/>
      <x:c r="F7" s="28"/>
      <x:c r="G7" s="28"/>
      <x:c r="H7" s="28"/>
    </x:row>
    <x:row r="8">
      <x:c r="A8" s="27" t="str">
        <x:v>Jumlah test case</x:v>
      </x:c>
      <x:c r="B8" s="28" t="n">
        <x:v>205</x:v>
      </x:c>
      <x:c r="C8" s="28"/>
      <x:c r="D8" s="28"/>
      <x:c r="E8" s="28"/>
      <x:c r="F8" s="28"/>
      <x:c r="G8" s="28"/>
      <x:c r="H8" s="28"/>
    </x:row>
    <x:row r="9">
      <x:c r="A9" s="27" t="str">
        <x:v>Aturan data</x:v>
      </x:c>
      <x:c r="B9" s="28" t="str">
        <x:v>Gunakan prefix QA-TEST dan jangan menyimpan password/token di workbook</x:v>
      </x:c>
      <x:c r="C9" s="28"/>
      <x:c r="D9" s="28"/>
      <x:c r="E9" s="28"/>
      <x:c r="F9" s="28"/>
      <x:c r="G9" s="28"/>
      <x:c r="H9" s="28"/>
    </x:row>
    <x:row r="10">
      <x:c r="A10" s="28"/>
      <x:c r="B10" s="28"/>
      <x:c r="C10" s="28"/>
      <x:c r="D10" s="28"/>
      <x:c r="E10" s="28"/>
      <x:c r="F10" s="28"/>
      <x:c r="G10" s="28"/>
      <x:c r="H10" s="28"/>
    </x:row>
    <x:row r="11">
      <x:c r="A11" s="30" t="str">
        <x:v>Cara Menggunakan</x:v>
      </x:c>
      <x:c r="B11" s="30" t="str">
        <x:v>Cara Menggunakan</x:v>
      </x:c>
      <x:c r="C11" s="30" t="str">
        <x:v>Cara Menggunakan</x:v>
      </x:c>
      <x:c r="D11" s="30" t="str">
        <x:v>Cara Menggunakan</x:v>
      </x:c>
      <x:c r="E11" s="30" t="str">
        <x:v>Cara Menggunakan</x:v>
      </x:c>
      <x:c r="F11" s="30" t="str">
        <x:v>Cara Menggunakan</x:v>
      </x:c>
      <x:c r="G11" s="30" t="str">
        <x:v>Cara Menggunakan</x:v>
      </x:c>
      <x:c r="H11" s="30" t="str">
        <x:v>Cara Menggunakan</x:v>
      </x:c>
    </x:row>
    <x:row r="12" ht="30" customHeight="1">
      <x:c r="A12" s="23" t="str">
        <x:v>1. Buka sheet Test Cases dan jalankan test sesuai urutan atau modul.</x:v>
      </x:c>
      <x:c r="B12" s="23"/>
      <x:c r="C12" s="23"/>
      <x:c r="D12" s="23"/>
      <x:c r="E12" s="23"/>
      <x:c r="F12" s="23"/>
      <x:c r="G12" s="23"/>
      <x:c r="H12" s="23"/>
    </x:row>
    <x:row r="13" ht="30" customHeight="1">
      <x:c r="A13" s="23" t="str">
        <x:v>2. Isi kolom Hasil Aktual dengan kondisi yang benar-benar terlihat.</x:v>
      </x:c>
      <x:c r="B13" s="23"/>
      <x:c r="C13" s="23"/>
      <x:c r="D13" s="23"/>
      <x:c r="E13" s="23"/>
      <x:c r="F13" s="23"/>
      <x:c r="G13" s="23"/>
      <x:c r="H13" s="23"/>
    </x:row>
    <x:row r="14" ht="30" customHeight="1">
      <x:c r="A14" s="23" t="str">
        <x:v>3. Pilih Status: Passed, Failed, Blocked, atau Not Tested.</x:v>
      </x:c>
      <x:c r="B14" s="23"/>
      <x:c r="C14" s="23"/>
      <x:c r="D14" s="23"/>
      <x:c r="E14" s="23"/>
      <x:c r="F14" s="23"/>
      <x:c r="G14" s="23"/>
      <x:c r="H14" s="23"/>
    </x:row>
    <x:row r="15" ht="30" customHeight="1">
      <x:c r="A15" s="23" t="str">
        <x:v>4. Isi Tester, Tanggal, dan Bukti/Link screenshot.</x:v>
      </x:c>
      <x:c r="B15" s="23"/>
      <x:c r="C15" s="23"/>
      <x:c r="D15" s="23"/>
      <x:c r="E15" s="23"/>
      <x:c r="F15" s="23"/>
      <x:c r="G15" s="23"/>
      <x:c r="H15" s="23"/>
    </x:row>
    <x:row r="16" ht="30" customHeight="1">
      <x:c r="A16" s="23" t="str">
        <x:v>5. Untuk status Failed, salin temuan ke sheet Bug Report.</x:v>
      </x:c>
      <x:c r="B16" s="23"/>
      <x:c r="C16" s="23"/>
      <x:c r="D16" s="23"/>
      <x:c r="E16" s="23"/>
      <x:c r="F16" s="23"/>
      <x:c r="G16" s="23"/>
      <x:c r="H16" s="23"/>
    </x:row>
    <x:row r="17" ht="30" customHeight="1">
      <x:c r="A17" s="23" t="str">
        <x:v>6. Jangan menjalankan brute force, active scan agresif, atau load test besar langsung di production.</x:v>
      </x:c>
      <x:c r="B17" s="23"/>
      <x:c r="C17" s="23"/>
      <x:c r="D17" s="23"/>
      <x:c r="E17" s="23"/>
      <x:c r="F17" s="23"/>
      <x:c r="G17" s="23"/>
      <x:c r="H17" s="23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>
      <x:c r="A19" s="31" t="str">
        <x:v>Status</x:v>
      </x:c>
      <x:c r="B19" s="32" t="str">
        <x:v>Arti</x:v>
      </x:c>
      <x:c r="C19" s="32" t="str">
        <x:v>Severity</x:v>
      </x:c>
      <x:c r="D19" s="33" t="str">
        <x:v>Arti</x:v>
      </x:c>
      <x:c r="E19" s="28"/>
      <x:c r="F19" s="28"/>
      <x:c r="G19" s="28"/>
      <x:c r="H19" s="28"/>
    </x:row>
    <x:row r="20">
      <x:c r="A20" s="34" t="str">
        <x:v>Passed</x:v>
      </x:c>
      <x:c r="B20" s="35" t="str">
        <x:v>Hasil sesuai harapan</x:v>
      </x:c>
      <x:c r="C20" s="35" t="str">
        <x:v>Critical</x:v>
      </x:c>
      <x:c r="D20" s="36" t="str">
        <x:v>Kebocoran akses, kehilangan data, atau sistem utama gagal</x:v>
      </x:c>
      <x:c r="E20" s="28"/>
      <x:c r="F20" s="28"/>
      <x:c r="G20" s="28"/>
      <x:c r="H20" s="28"/>
    </x:row>
    <x:row r="21">
      <x:c r="A21" s="34" t="str">
        <x:v>Failed</x:v>
      </x:c>
      <x:c r="B21" s="35" t="str">
        <x:v>Hasil tidak sesuai</x:v>
      </x:c>
      <x:c r="C21" s="35" t="str">
        <x:v>High</x:v>
      </x:c>
      <x:c r="D21" s="36" t="str">
        <x:v>Fitur utama gagal atau tidak dapat digunakan</x:v>
      </x:c>
      <x:c r="E21" s="28"/>
      <x:c r="F21" s="28"/>
      <x:c r="G21" s="28"/>
      <x:c r="H21" s="28"/>
    </x:row>
    <x:row r="22">
      <x:c r="A22" s="34" t="str">
        <x:v>Blocked</x:v>
      </x:c>
      <x:c r="B22" s="35" t="str">
        <x:v>Tidak dapat diuji karena prasyarat</x:v>
      </x:c>
      <x:c r="C22" s="35" t="str">
        <x:v>Medium</x:v>
      </x:c>
      <x:c r="D22" s="36" t="str">
        <x:v>Fitur terganggu tetapi ada alternatif</x:v>
      </x:c>
      <x:c r="E22" s="28"/>
      <x:c r="F22" s="28"/>
      <x:c r="G22" s="28"/>
      <x:c r="H22" s="28"/>
    </x:row>
    <x:row r="23">
      <x:c r="A23" s="37" t="str">
        <x:v>Not Tested</x:v>
      </x:c>
      <x:c r="B23" s="38" t="str">
        <x:v>Belum dijalankan</x:v>
      </x:c>
      <x:c r="C23" s="38" t="str">
        <x:v>Low</x:v>
      </x:c>
      <x:c r="D23" s="39" t="str">
        <x:v>Masalah minor atau tampilan</x:v>
      </x:c>
      <x:c r="E23" s="28"/>
      <x:c r="F23" s="28"/>
      <x:c r="G23" s="28"/>
      <x:c r="H23" s="28"/>
    </x:row>
  </x:sheetData>
  <x:mergeCells>
    <x:mergeCell ref="A1:H2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34" hidden="0" customWidth="1"/>
    <x:col min="5" max="5" width="28" hidden="0" customWidth="1"/>
    <x:col min="6" max="6" width="42" hidden="0" customWidth="1"/>
    <x:col min="7" max="7" width="42" hidden="0" customWidth="1"/>
    <x:col min="8" max="8" width="42" hidden="0" customWidth="1"/>
    <x:col min="9" max="9" width="14" hidden="0" customWidth="1"/>
    <x:col min="10" max="10" width="12" hidden="0" customWidth="1"/>
    <x:col min="11" max="11" width="18" hidden="0" customWidth="1"/>
    <x:col min="12" max="12" width="14" hidden="0" customWidth="1"/>
    <x:col min="13" max="13" width="28" hidden="0" customWidth="1"/>
    <x:col min="14" max="14" width="30" hidden="0" customWidth="1"/>
  </x:cols>
  <x:sheetData>
    <x:row r="1">
      <x:c r="A1" s="41" t="str">
        <x:v>DAFTAR TEST CASE BLACKBOX — BHUMI SATYA</x:v>
      </x:c>
      <x:c r="B1" s="41" t="str">
        <x:v>DAFTAR TEST CASE BLACKBOX — BHUMI SATYA</x:v>
      </x:c>
      <x:c r="C1" s="41" t="str">
        <x:v>DAFTAR TEST CASE BLACKBOX — BHUMI SATYA</x:v>
      </x:c>
      <x:c r="D1" s="41" t="str">
        <x:v>DAFTAR TEST CASE BLACKBOX — BHUMI SATYA</x:v>
      </x:c>
      <x:c r="E1" s="41" t="str">
        <x:v>DAFTAR TEST CASE BLACKBOX — BHUMI SATYA</x:v>
      </x:c>
      <x:c r="F1" s="41" t="str">
        <x:v>DAFTAR TEST CASE BLACKBOX — BHUMI SATYA</x:v>
      </x:c>
      <x:c r="G1" s="41" t="str">
        <x:v>DAFTAR TEST CASE BLACKBOX — BHUMI SATYA</x:v>
      </x:c>
      <x:c r="H1" s="41" t="str">
        <x:v>DAFTAR TEST CASE BLACKBOX — BHUMI SATYA</x:v>
      </x:c>
      <x:c r="I1" s="41" t="str">
        <x:v>DAFTAR TEST CASE BLACKBOX — BHUMI SATYA</x:v>
      </x:c>
      <x:c r="J1" s="41" t="str">
        <x:v>DAFTAR TEST CASE BLACKBOX — BHUMI SATYA</x:v>
      </x:c>
      <x:c r="K1" s="41" t="str">
        <x:v>DAFTAR TEST CASE BLACKBOX — BHUMI SATYA</x:v>
      </x:c>
      <x:c r="L1" s="41" t="str">
        <x:v>DAFTAR TEST CASE BLACKBOX — BHUMI SATYA</x:v>
      </x:c>
      <x:c r="M1" s="41" t="str">
        <x:v>DAFTAR TEST CASE BLACKBOX — BHUMI SATYA</x:v>
      </x:c>
      <x:c r="N1" s="41" t="str">
        <x:v>DAFTAR TEST CASE BLACKBOX — BHUMI SATYA</x:v>
      </x:c>
    </x:row>
    <x:row r="2">
      <x:c r="A2" s="41" t="str">
        <x:v>DAFTAR TEST CASE BLACKBOX — BHUMI SATYA</x:v>
      </x:c>
      <x:c r="B2" s="41" t="str">
        <x:v>DAFTAR TEST CASE BLACKBOX — BHUMI SATYA</x:v>
      </x:c>
      <x:c r="C2" s="41" t="str">
        <x:v>DAFTAR TEST CASE BLACKBOX — BHUMI SATYA</x:v>
      </x:c>
      <x:c r="D2" s="41" t="str">
        <x:v>DAFTAR TEST CASE BLACKBOX — BHUMI SATYA</x:v>
      </x:c>
      <x:c r="E2" s="41" t="str">
        <x:v>DAFTAR TEST CASE BLACKBOX — BHUMI SATYA</x:v>
      </x:c>
      <x:c r="F2" s="41" t="str">
        <x:v>DAFTAR TEST CASE BLACKBOX — BHUMI SATYA</x:v>
      </x:c>
      <x:c r="G2" s="41" t="str">
        <x:v>DAFTAR TEST CASE BLACKBOX — BHUMI SATYA</x:v>
      </x:c>
      <x:c r="H2" s="41" t="str">
        <x:v>DAFTAR TEST CASE BLACKBOX — BHUMI SATYA</x:v>
      </x:c>
      <x:c r="I2" s="41" t="str">
        <x:v>DAFTAR TEST CASE BLACKBOX — BHUMI SATYA</x:v>
      </x:c>
      <x:c r="J2" s="41" t="str">
        <x:v>DAFTAR TEST CASE BLACKBOX — BHUMI SATYA</x:v>
      </x:c>
      <x:c r="K2" s="41" t="str">
        <x:v>DAFTAR TEST CASE BLACKBOX — BHUMI SATYA</x:v>
      </x:c>
      <x:c r="L2" s="41" t="str">
        <x:v>DAFTAR TEST CASE BLACKBOX — BHUMI SATYA</x:v>
      </x:c>
      <x:c r="M2" s="41" t="str">
        <x:v>DAFTAR TEST CASE BLACKBOX — BHUMI SATYA</x:v>
      </x:c>
      <x:c r="N2" s="41" t="str">
        <x:v>DAFTAR TEST CASE BLACKBOX — BHUMI SATYA</x:v>
      </x:c>
    </x:row>
    <x:row r="3">
      <x:c r="A3" s="43" t="str">
        <x:v>Kolom berwarna kuning diisi saat testing. Gunakan data QA dan tautkan bukti untuk setiap kegagalan.</x:v>
      </x:c>
      <x:c r="B3" s="43" t="str">
        <x:v>Kolom berwarna kuning diisi saat testing. Gunakan data QA dan tautkan bukti untuk setiap kegagalan.</x:v>
      </x:c>
      <x:c r="C3" s="43" t="str">
        <x:v>Kolom berwarna kuning diisi saat testing. Gunakan data QA dan tautkan bukti untuk setiap kegagalan.</x:v>
      </x:c>
      <x:c r="D3" s="43" t="str">
        <x:v>Kolom berwarna kuning diisi saat testing. Gunakan data QA dan tautkan bukti untuk setiap kegagalan.</x:v>
      </x:c>
      <x:c r="E3" s="43" t="str">
        <x:v>Kolom berwarna kuning diisi saat testing. Gunakan data QA dan tautkan bukti untuk setiap kegagalan.</x:v>
      </x:c>
      <x:c r="F3" s="43" t="str">
        <x:v>Kolom berwarna kuning diisi saat testing. Gunakan data QA dan tautkan bukti untuk setiap kegagalan.</x:v>
      </x:c>
      <x:c r="G3" s="43" t="str">
        <x:v>Kolom berwarna kuning diisi saat testing. Gunakan data QA dan tautkan bukti untuk setiap kegagalan.</x:v>
      </x:c>
      <x:c r="H3" s="43" t="str">
        <x:v>Kolom berwarna kuning diisi saat testing. Gunakan data QA dan tautkan bukti untuk setiap kegagalan.</x:v>
      </x:c>
      <x:c r="I3" s="43" t="str">
        <x:v>Kolom berwarna kuning diisi saat testing. Gunakan data QA dan tautkan bukti untuk setiap kegagalan.</x:v>
      </x:c>
      <x:c r="J3" s="43" t="str">
        <x:v>Kolom berwarna kuning diisi saat testing. Gunakan data QA dan tautkan bukti untuk setiap kegagalan.</x:v>
      </x:c>
      <x:c r="K3" s="43" t="str">
        <x:v>Kolom berwarna kuning diisi saat testing. Gunakan data QA dan tautkan bukti untuk setiap kegagalan.</x:v>
      </x:c>
      <x:c r="L3" s="43" t="str">
        <x:v>Kolom berwarna kuning diisi saat testing. Gunakan data QA dan tautkan bukti untuk setiap kegagalan.</x:v>
      </x:c>
      <x:c r="M3" s="43" t="str">
        <x:v>Kolom berwarna kuning diisi saat testing. Gunakan data QA dan tautkan bukti untuk setiap kegagalan.</x:v>
      </x:c>
      <x:c r="N3" s="43" t="str">
        <x:v>Kolom berwarna kuning diisi saat testing. Gunakan data QA dan tautkan bukti untuk setiap kegagalan.</x:v>
      </x:c>
    </x:row>
    <x:row r="5" ht="36" customHeight="1">
      <x:c r="A5" s="47" t="str">
        <x:v>Test ID</x:v>
      </x:c>
      <x:c r="B5" s="47" t="str">
        <x:v>Modul</x:v>
      </x:c>
      <x:c r="C5" s="47" t="str">
        <x:v>Jenis Test</x:v>
      </x:c>
      <x:c r="D5" s="47" t="str">
        <x:v>Skenario</x:v>
      </x:c>
      <x:c r="E5" s="47" t="str">
        <x:v>Prasyarat</x:v>
      </x:c>
      <x:c r="F5" s="47" t="str">
        <x:v>Langkah Pengujian</x:v>
      </x:c>
      <x:c r="G5" s="47" t="str">
        <x:v>Hasil Diharapkan</x:v>
      </x:c>
      <x:c r="H5" s="47" t="str">
        <x:v>Hasil Aktual</x:v>
      </x:c>
      <x:c r="I5" s="47" t="str">
        <x:v>Status</x:v>
      </x:c>
      <x:c r="J5" s="47" t="str">
        <x:v>Severity</x:v>
      </x:c>
      <x:c r="K5" s="47" t="str">
        <x:v>Tester</x:v>
      </x:c>
      <x:c r="L5" s="47" t="str">
        <x:v>Tanggal</x:v>
      </x:c>
      <x:c r="M5" s="47" t="str">
        <x:v>Bukti / Link</x:v>
      </x:c>
      <x:c r="N5" s="47" t="str">
        <x:v>Catatan</x:v>
      </x:c>
    </x:row>
    <x:row r="6" ht="54" customHeight="1">
      <x:c r="A6" s="50" t="str">
        <x:v>TC-001</x:v>
      </x:c>
      <x:c r="B6" s="50" t="str">
        <x:v>Deployment</x:v>
      </x:c>
      <x:c r="C6" s="50" t="str">
        <x:v>Smoke</x:v>
      </x:c>
      <x:c r="D6" s="50" t="str">
        <x:v>Domain utama dapat diakses melalui HTTPS</x:v>
      </x:c>
      <x:c r="E6" s="50" t="str">
        <x:v>DNS sudah aktif</x:v>
      </x:c>
      <x:c r="F6" s="50" t="str">
        <x:v>Buka https://bhumisatya.web.id</x:v>
      </x:c>
      <x:c r="G6" s="50" t="str">
        <x:v>Landing page tampil tanpa peringatan sertifikat</x:v>
      </x:c>
      <x:c r="H6" s="51" t="str"/>
      <x:c r="I6" s="51" t="str">
        <x:v>Not Tested</x:v>
      </x:c>
      <x:c r="J6" s="50" t="str">
        <x:v>Critical</x:v>
      </x:c>
      <x:c r="K6" s="52" t="str"/>
      <x:c r="L6" s="54"/>
      <x:c r="M6" s="52" t="str"/>
      <x:c r="N6" s="52" t="str"/>
    </x:row>
    <x:row r="7" ht="54" customHeight="1">
      <x:c r="A7" s="50" t="str">
        <x:v>TC-002</x:v>
      </x:c>
      <x:c r="B7" s="50" t="str">
        <x:v>Deployment</x:v>
      </x:c>
      <x:c r="C7" s="50" t="str">
        <x:v>Smoke</x:v>
      </x:c>
      <x:c r="D7" s="50" t="str">
        <x:v>HTTP dialihkan ke HTTPS</x:v>
      </x:c>
      <x:c r="E7" s="50" t="str">
        <x:v>Tidak ada</x:v>
      </x:c>
      <x:c r="F7" s="50" t="str">
        <x:v>Buka http://bhumisatya.web.id</x:v>
      </x:c>
      <x:c r="G7" s="50" t="str">
        <x:v>Browser dialihkan ke https://bhumisatya.web.id</x:v>
      </x:c>
      <x:c r="H7" s="51" t="str"/>
      <x:c r="I7" s="51" t="str">
        <x:v>Not Tested</x:v>
      </x:c>
      <x:c r="J7" s="50" t="str">
        <x:v>High</x:v>
      </x:c>
      <x:c r="K7" s="52" t="str"/>
      <x:c r="L7" s="54"/>
      <x:c r="M7" s="52" t="str"/>
      <x:c r="N7" s="52" t="str"/>
    </x:row>
    <x:row r="8" ht="54" customHeight="1">
      <x:c r="A8" s="50" t="str">
        <x:v>TC-003</x:v>
      </x:c>
      <x:c r="B8" s="50" t="str">
        <x:v>Deployment</x:v>
      </x:c>
      <x:c r="C8" s="50" t="str">
        <x:v>Smoke</x:v>
      </x:c>
      <x:c r="D8" s="50" t="str">
        <x:v>Health check backend merespons</x:v>
      </x:c>
      <x:c r="E8" s="50" t="str">
        <x:v>Aplikasi aktif</x:v>
      </x:c>
      <x:c r="F8" s="50" t="str">
        <x:v>Akses /api/health</x:v>
      </x:c>
      <x:c r="G8" s="50" t="str">
        <x:v>Respons 200 dan status server running</x:v>
      </x:c>
      <x:c r="H8" s="51" t="str"/>
      <x:c r="I8" s="51" t="str">
        <x:v>Not Tested</x:v>
      </x:c>
      <x:c r="J8" s="50" t="str">
        <x:v>Critical</x:v>
      </x:c>
      <x:c r="K8" s="52" t="str"/>
      <x:c r="L8" s="54"/>
      <x:c r="M8" s="52" t="str"/>
      <x:c r="N8" s="52" t="str"/>
    </x:row>
    <x:row r="9" ht="54" customHeight="1">
      <x:c r="A9" s="50" t="str">
        <x:v>TC-004</x:v>
      </x:c>
      <x:c r="B9" s="50" t="str">
        <x:v>Deployment</x:v>
      </x:c>
      <x:c r="C9" s="50" t="str">
        <x:v>Smoke</x:v>
      </x:c>
      <x:c r="D9" s="50" t="str">
        <x:v>Asset frontend termuat lengkap</x:v>
      </x:c>
      <x:c r="E9" s="50" t="str">
        <x:v>Landing page terbuka</x:v>
      </x:c>
      <x:c r="F9" s="50" t="str">
        <x:v>Periksa Network pada DevTools</x:v>
      </x:c>
      <x:c r="G9" s="50" t="str">
        <x:v>Tidak ada asset utama berstatus 404 atau 5xx</x:v>
      </x:c>
      <x:c r="H9" s="51" t="str"/>
      <x:c r="I9" s="51" t="str">
        <x:v>Not Tested</x:v>
      </x:c>
      <x:c r="J9" s="50" t="str">
        <x:v>High</x:v>
      </x:c>
      <x:c r="K9" s="52" t="str"/>
      <x:c r="L9" s="54"/>
      <x:c r="M9" s="52" t="str"/>
      <x:c r="N9" s="52" t="str"/>
    </x:row>
    <x:row r="10" ht="54" customHeight="1">
      <x:c r="A10" s="50" t="str">
        <x:v>TC-005</x:v>
      </x:c>
      <x:c r="B10" s="50" t="str">
        <x:v>Deployment</x:v>
      </x:c>
      <x:c r="C10" s="50" t="str">
        <x:v>Smoke</x:v>
      </x:c>
      <x:c r="D10" s="50" t="str">
        <x:v>Refresh pada route aplikasi</x:v>
      </x:c>
      <x:c r="E10" s="50" t="str">
        <x:v>Pengguna berada pada route selain root</x:v>
      </x:c>
      <x:c r="F10" s="50" t="str">
        <x:v>Lakukan refresh browser</x:v>
      </x:c>
      <x:c r="G10" s="50" t="str">
        <x:v>Halaman tetap tampil dan tidak menjadi 404</x:v>
      </x:c>
      <x:c r="H10" s="51" t="str"/>
      <x:c r="I10" s="51" t="str">
        <x:v>Not Tested</x:v>
      </x:c>
      <x:c r="J10" s="50" t="str">
        <x:v>High</x:v>
      </x:c>
      <x:c r="K10" s="52" t="str"/>
      <x:c r="L10" s="54"/>
      <x:c r="M10" s="52" t="str"/>
      <x:c r="N10" s="52" t="str"/>
    </x:row>
    <x:row r="11" ht="54" customHeight="1">
      <x:c r="A11" s="50" t="str">
        <x:v>TC-006</x:v>
      </x:c>
      <x:c r="B11" s="50" t="str">
        <x:v>Deployment</x:v>
      </x:c>
      <x:c r="C11" s="50" t="str">
        <x:v>Compatibility</x:v>
      </x:c>
      <x:c r="D11" s="50" t="str">
        <x:v>Website dapat dibuka pada Chrome</x:v>
      </x:c>
      <x:c r="E11" s="50" t="str">
        <x:v>Chrome versi stabil</x:v>
      </x:c>
      <x:c r="F11" s="50" t="str">
        <x:v>Buka domain utama dan navigasikan menu utama</x:v>
      </x:c>
      <x:c r="G11" s="50" t="str">
        <x:v>Fitur utama dapat digunakan</x:v>
      </x:c>
      <x:c r="H11" s="51" t="str"/>
      <x:c r="I11" s="51" t="str">
        <x:v>Not Tested</x:v>
      </x:c>
      <x:c r="J11" s="50" t="str">
        <x:v>Medium</x:v>
      </x:c>
      <x:c r="K11" s="52" t="str"/>
      <x:c r="L11" s="54"/>
      <x:c r="M11" s="52" t="str"/>
      <x:c r="N11" s="52" t="str"/>
    </x:row>
    <x:row r="12" ht="54" customHeight="1">
      <x:c r="A12" s="50" t="str">
        <x:v>TC-007</x:v>
      </x:c>
      <x:c r="B12" s="50" t="str">
        <x:v>Deployment</x:v>
      </x:c>
      <x:c r="C12" s="50" t="str">
        <x:v>Compatibility</x:v>
      </x:c>
      <x:c r="D12" s="50" t="str">
        <x:v>Website dapat dibuka pada Edge/Firefox</x:v>
      </x:c>
      <x:c r="E12" s="50" t="str">
        <x:v>Browser alternatif tersedia</x:v>
      </x:c>
      <x:c r="F12" s="50" t="str">
        <x:v>Buka domain utama dan navigasikan menu utama</x:v>
      </x:c>
      <x:c r="G12" s="50" t="str">
        <x:v>Tidak ada kerusakan fungsi atau layout utama</x:v>
      </x:c>
      <x:c r="H12" s="51" t="str"/>
      <x:c r="I12" s="51" t="str">
        <x:v>Not Tested</x:v>
      </x:c>
      <x:c r="J12" s="50" t="str">
        <x:v>Medium</x:v>
      </x:c>
      <x:c r="K12" s="52" t="str"/>
      <x:c r="L12" s="54"/>
      <x:c r="M12" s="52" t="str"/>
      <x:c r="N12" s="52" t="str"/>
    </x:row>
    <x:row r="13" ht="54" customHeight="1">
      <x:c r="A13" s="50" t="str">
        <x:v>TC-008</x:v>
      </x:c>
      <x:c r="B13" s="50" t="str">
        <x:v>Landing Page</x:v>
      </x:c>
      <x:c r="C13" s="50" t="str">
        <x:v>Functional</x:v>
      </x:c>
      <x:c r="D13" s="50" t="str">
        <x:v>Identitas Bhumi Satya tampil konsisten</x:v>
      </x:c>
      <x:c r="E13" s="50" t="str">
        <x:v>Pengguna belum login</x:v>
      </x:c>
      <x:c r="F13" s="50" t="str">
        <x:v>Buka landing page</x:v>
      </x:c>
      <x:c r="G13" s="50" t="str">
        <x:v>Nama, logo BS, dan Digital Twin tampil benar</x:v>
      </x:c>
      <x:c r="H13" s="51" t="str"/>
      <x:c r="I13" s="51" t="str">
        <x:v>Not Tested</x:v>
      </x:c>
      <x:c r="J13" s="50" t="str">
        <x:v>Medium</x:v>
      </x:c>
      <x:c r="K13" s="52" t="str"/>
      <x:c r="L13" s="54"/>
      <x:c r="M13" s="52" t="str"/>
      <x:c r="N13" s="52" t="str"/>
    </x:row>
    <x:row r="14" ht="54" customHeight="1">
      <x:c r="A14" s="50" t="str">
        <x:v>TC-009</x:v>
      </x:c>
      <x:c r="B14" s="50" t="str">
        <x:v>Landing Page</x:v>
      </x:c>
      <x:c r="C14" s="50" t="str">
        <x:v>Functional</x:v>
      </x:c>
      <x:c r="D14" s="50" t="str">
        <x:v>Navbar tidak berubah ukuran saat berpindah bagian</x:v>
      </x:c>
      <x:c r="E14" s="50" t="str">
        <x:v>Pengguna belum login</x:v>
      </x:c>
      <x:c r="F14" s="50" t="str">
        <x:v>Klik Beranda, Digital Twin, dan Penyewaan</x:v>
      </x:c>
      <x:c r="G14" s="50" t="str">
        <x:v>Ukuran dan posisi navbar tetap konsisten</x:v>
      </x:c>
      <x:c r="H14" s="51" t="str"/>
      <x:c r="I14" s="51" t="str">
        <x:v>Not Tested</x:v>
      </x:c>
      <x:c r="J14" s="50" t="str">
        <x:v>Medium</x:v>
      </x:c>
      <x:c r="K14" s="52" t="str"/>
      <x:c r="L14" s="54"/>
      <x:c r="M14" s="52" t="str"/>
      <x:c r="N14" s="52" t="str"/>
    </x:row>
    <x:row r="15" ht="54" customHeight="1">
      <x:c r="A15" s="50" t="str">
        <x:v>TC-010</x:v>
      </x:c>
      <x:c r="B15" s="50" t="str">
        <x:v>Landing Page</x:v>
      </x:c>
      <x:c r="C15" s="50" t="str">
        <x:v>Functional</x:v>
      </x:c>
      <x:c r="D15" s="50" t="str">
        <x:v>Tombol Login membuka panel login</x:v>
      </x:c>
      <x:c r="E15" s="50" t="str">
        <x:v>Pengguna belum login</x:v>
      </x:c>
      <x:c r="F15" s="50" t="str">
        <x:v>Klik tombol Login</x:v>
      </x:c>
      <x:c r="G15" s="50" t="str">
        <x:v>Panel login terbuka tanpa navigasi yang tidak diperlukan</x:v>
      </x:c>
      <x:c r="H15" s="51" t="str"/>
      <x:c r="I15" s="51" t="str">
        <x:v>Not Tested</x:v>
      </x:c>
      <x:c r="J15" s="50" t="str">
        <x:v>Medium</x:v>
      </x:c>
      <x:c r="K15" s="52" t="str"/>
      <x:c r="L15" s="54"/>
      <x:c r="M15" s="52" t="str"/>
      <x:c r="N15" s="52" t="str"/>
    </x:row>
    <x:row r="16" ht="54" customHeight="1">
      <x:c r="A16" s="50" t="str">
        <x:v>TC-011</x:v>
      </x:c>
      <x:c r="B16" s="50" t="str">
        <x:v>Landing Page</x:v>
      </x:c>
      <x:c r="C16" s="50" t="str">
        <x:v>Functional</x:v>
      </x:c>
      <x:c r="D16" s="50" t="str">
        <x:v>Panel login dapat ditutup</x:v>
      </x:c>
      <x:c r="E16" s="50" t="str">
        <x:v>Pengguna belum login</x:v>
      </x:c>
      <x:c r="F16" s="50" t="str">
        <x:v>Buka login lalu tekan tombol tutup/Escape</x:v>
      </x:c>
      <x:c r="G16" s="50" t="str">
        <x:v>Panel tertutup dan fokus kembali dengan wajar</x:v>
      </x:c>
      <x:c r="H16" s="51" t="str"/>
      <x:c r="I16" s="51" t="str">
        <x:v>Not Tested</x:v>
      </x:c>
      <x:c r="J16" s="50" t="str">
        <x:v>Medium</x:v>
      </x:c>
      <x:c r="K16" s="52" t="str"/>
      <x:c r="L16" s="54"/>
      <x:c r="M16" s="52" t="str"/>
      <x:c r="N16" s="52" t="str"/>
    </x:row>
    <x:row r="17" ht="54" customHeight="1">
      <x:c r="A17" s="50" t="str">
        <x:v>TC-012</x:v>
      </x:c>
      <x:c r="B17" s="50" t="str">
        <x:v>Landing Page</x:v>
      </x:c>
      <x:c r="C17" s="50" t="str">
        <x:v>Functional</x:v>
      </x:c>
      <x:c r="D17" s="50" t="str">
        <x:v>Hero light mode menggunakan gradasi putih</x:v>
      </x:c>
      <x:c r="E17" s="50" t="str">
        <x:v>Pengguna belum login</x:v>
      </x:c>
      <x:c r="F17" s="50" t="str">
        <x:v>Aktifkan light mode dan lihat hero</x:v>
      </x:c>
      <x:c r="G17" s="50" t="str">
        <x:v>Gradasi terang terbaca jelas tanpa kontras buruk</x:v>
      </x:c>
      <x:c r="H17" s="51" t="str"/>
      <x:c r="I17" s="51" t="str">
        <x:v>Not Tested</x:v>
      </x:c>
      <x:c r="J17" s="50" t="str">
        <x:v>Medium</x:v>
      </x:c>
      <x:c r="K17" s="52" t="str"/>
      <x:c r="L17" s="54"/>
      <x:c r="M17" s="52" t="str"/>
      <x:c r="N17" s="52" t="str"/>
    </x:row>
    <x:row r="18" ht="54" customHeight="1">
      <x:c r="A18" s="50" t="str">
        <x:v>TC-013</x:v>
      </x:c>
      <x:c r="B18" s="50" t="str">
        <x:v>Landing Page</x:v>
      </x:c>
      <x:c r="C18" s="50" t="str">
        <x:v>Functional</x:v>
      </x:c>
      <x:c r="D18" s="50" t="str">
        <x:v>Dark mode dapat diaktifkan</x:v>
      </x:c>
      <x:c r="E18" s="50" t="str">
        <x:v>Pengguna belum login</x:v>
      </x:c>
      <x:c r="F18" s="50" t="str">
        <x:v>Klik pengubah tema</x:v>
      </x:c>
      <x:c r="G18" s="50" t="str">
        <x:v>Seluruh landing page beralih ke dark mode</x:v>
      </x:c>
      <x:c r="H18" s="51" t="str"/>
      <x:c r="I18" s="51" t="str">
        <x:v>Not Tested</x:v>
      </x:c>
      <x:c r="J18" s="50" t="str">
        <x:v>Medium</x:v>
      </x:c>
      <x:c r="K18" s="52" t="str"/>
      <x:c r="L18" s="54"/>
      <x:c r="M18" s="52" t="str"/>
      <x:c r="N18" s="52" t="str"/>
    </x:row>
    <x:row r="19" ht="54" customHeight="1">
      <x:c r="A19" s="50" t="str">
        <x:v>TC-014</x:v>
      </x:c>
      <x:c r="B19" s="50" t="str">
        <x:v>Landing Page</x:v>
      </x:c>
      <x:c r="C19" s="50" t="str">
        <x:v>Functional</x:v>
      </x:c>
      <x:c r="D19" s="50" t="str">
        <x:v>Pilihan tema bertahan setelah refresh</x:v>
      </x:c>
      <x:c r="E19" s="50" t="str">
        <x:v>Pengguna belum login</x:v>
      </x:c>
      <x:c r="F19" s="50" t="str">
        <x:v>Pilih tema lalu refresh</x:v>
      </x:c>
      <x:c r="G19" s="50" t="str">
        <x:v>Tema yang dipilih tetap digunakan</x:v>
      </x:c>
      <x:c r="H19" s="51" t="str"/>
      <x:c r="I19" s="51" t="str">
        <x:v>Not Tested</x:v>
      </x:c>
      <x:c r="J19" s="50" t="str">
        <x:v>Medium</x:v>
      </x:c>
      <x:c r="K19" s="52" t="str"/>
      <x:c r="L19" s="54"/>
      <x:c r="M19" s="52" t="str"/>
      <x:c r="N19" s="52" t="str"/>
    </x:row>
    <x:row r="20" ht="54" customHeight="1">
      <x:c r="A20" s="50" t="str">
        <x:v>TC-015</x:v>
      </x:c>
      <x:c r="B20" s="50" t="str">
        <x:v>Landing Page</x:v>
      </x:c>
      <x:c r="C20" s="50" t="str">
        <x:v>Functional</x:v>
      </x:c>
      <x:c r="D20" s="50" t="str">
        <x:v>Bagian Digital Twin dapat dibuka dari navbar</x:v>
      </x:c>
      <x:c r="E20" s="50" t="str">
        <x:v>Pengguna belum login</x:v>
      </x:c>
      <x:c r="F20" s="50" t="str">
        <x:v>Klik Digital Twin</x:v>
      </x:c>
      <x:c r="G20" s="50" t="str">
        <x:v>Bagian/peta Digital Twin tampil</x:v>
      </x:c>
      <x:c r="H20" s="51" t="str"/>
      <x:c r="I20" s="51" t="str">
        <x:v>Not Tested</x:v>
      </x:c>
      <x:c r="J20" s="50" t="str">
        <x:v>Medium</x:v>
      </x:c>
      <x:c r="K20" s="52" t="str"/>
      <x:c r="L20" s="54"/>
      <x:c r="M20" s="52" t="str"/>
      <x:c r="N20" s="52" t="str"/>
    </x:row>
    <x:row r="21" ht="54" customHeight="1">
      <x:c r="A21" s="50" t="str">
        <x:v>TC-016</x:v>
      </x:c>
      <x:c r="B21" s="50" t="str">
        <x:v>Landing Page</x:v>
      </x:c>
      <x:c r="C21" s="50" t="str">
        <x:v>Functional</x:v>
      </x:c>
      <x:c r="D21" s="50" t="str">
        <x:v>Bagian Penyewaan dapat dibuka dari navbar</x:v>
      </x:c>
      <x:c r="E21" s="50" t="str">
        <x:v>Pengguna belum login</x:v>
      </x:c>
      <x:c r="F21" s="50" t="str">
        <x:v>Klik Penyewaan</x:v>
      </x:c>
      <x:c r="G21" s="50" t="str">
        <x:v>Informasi penyewaan tampil</x:v>
      </x:c>
      <x:c r="H21" s="51" t="str"/>
      <x:c r="I21" s="51" t="str">
        <x:v>Not Tested</x:v>
      </x:c>
      <x:c r="J21" s="50" t="str">
        <x:v>Medium</x:v>
      </x:c>
      <x:c r="K21" s="52" t="str"/>
      <x:c r="L21" s="54"/>
      <x:c r="M21" s="52" t="str"/>
      <x:c r="N21" s="52" t="str"/>
    </x:row>
    <x:row r="22" ht="54" customHeight="1">
      <x:c r="A22" s="50" t="str">
        <x:v>TC-017</x:v>
      </x:c>
      <x:c r="B22" s="50" t="str">
        <x:v>Landing Page</x:v>
      </x:c>
      <x:c r="C22" s="50" t="str">
        <x:v>Functional</x:v>
      </x:c>
      <x:c r="D22" s="50" t="str">
        <x:v>Tombol bantuan dan kembali ke atas mengambang</x:v>
      </x:c>
      <x:c r="E22" s="50" t="str">
        <x:v>Pengguna belum login</x:v>
      </x:c>
      <x:c r="F22" s="50" t="str">
        <x:v>Scroll landing page</x:v>
      </x:c>
      <x:c r="G22" s="50" t="str">
        <x:v>Tombol tetap dapat dijangkau tanpa menutupi konten penting</x:v>
      </x:c>
      <x:c r="H22" s="51" t="str"/>
      <x:c r="I22" s="51" t="str">
        <x:v>Not Tested</x:v>
      </x:c>
      <x:c r="J22" s="50" t="str">
        <x:v>Medium</x:v>
      </x:c>
      <x:c r="K22" s="52" t="str"/>
      <x:c r="L22" s="54"/>
      <x:c r="M22" s="52" t="str"/>
      <x:c r="N22" s="52" t="str"/>
    </x:row>
    <x:row r="23" ht="54" customHeight="1">
      <x:c r="A23" s="50" t="str">
        <x:v>TC-018</x:v>
      </x:c>
      <x:c r="B23" s="50" t="str">
        <x:v>Landing Page</x:v>
      </x:c>
      <x:c r="C23" s="50" t="str">
        <x:v>Functional</x:v>
      </x:c>
      <x:c r="D23" s="50" t="str">
        <x:v>Tidak terjadi scroll horizontal</x:v>
      </x:c>
      <x:c r="E23" s="50" t="str">
        <x:v>Pengguna belum login</x:v>
      </x:c>
      <x:c r="F23" s="50" t="str">
        <x:v>Periksa halaman pada beberapa ukuran viewport</x:v>
      </x:c>
      <x:c r="G23" s="50" t="str">
        <x:v>Lebar konten tidak melebihi viewport</x:v>
      </x:c>
      <x:c r="H23" s="51" t="str"/>
      <x:c r="I23" s="51" t="str">
        <x:v>Not Tested</x:v>
      </x:c>
      <x:c r="J23" s="50" t="str">
        <x:v>Medium</x:v>
      </x:c>
      <x:c r="K23" s="52" t="str"/>
      <x:c r="L23" s="54"/>
      <x:c r="M23" s="52" t="str"/>
      <x:c r="N23" s="52" t="str"/>
    </x:row>
    <x:row r="24" ht="54" customHeight="1">
      <x:c r="A24" s="50" t="str">
        <x:v>TC-019</x:v>
      </x:c>
      <x:c r="B24" s="50" t="str">
        <x:v>Peta Publik</x:v>
      </x:c>
      <x:c r="C24" s="50" t="str">
        <x:v>Functional</x:v>
      </x:c>
      <x:c r="D24" s="50" t="str">
        <x:v>Peta publik menggunakan basemap default ESRI</x:v>
      </x:c>
      <x:c r="E24" s="50" t="str">
        <x:v>Landing page terbuka</x:v>
      </x:c>
      <x:c r="F24" s="50" t="str">
        <x:v>Buka Digital Twin mode 2D</x:v>
      </x:c>
      <x:c r="G24" s="50" t="str">
        <x:v>Basemap satelit ESRI tampil dan sesuai pilihan kontrol</x:v>
      </x:c>
      <x:c r="H24" s="51" t="str"/>
      <x:c r="I24" s="51" t="str">
        <x:v>Not Tested</x:v>
      </x:c>
      <x:c r="J24" s="50" t="str">
        <x:v>Medium</x:v>
      </x:c>
      <x:c r="K24" s="52" t="str"/>
      <x:c r="L24" s="54"/>
      <x:c r="M24" s="52" t="str"/>
      <x:c r="N24" s="52" t="str"/>
    </x:row>
    <x:row r="25" ht="54" customHeight="1">
      <x:c r="A25" s="50" t="str">
        <x:v>TC-020</x:v>
      </x:c>
      <x:c r="B25" s="50" t="str">
        <x:v>Peta Publik</x:v>
      </x:c>
      <x:c r="C25" s="50" t="str">
        <x:v>Functional</x:v>
      </x:c>
      <x:c r="D25" s="50" t="str">
        <x:v>Kontrol Peta dapat dibuka dan ditutup</x:v>
      </x:c>
      <x:c r="E25" s="50" t="str">
        <x:v>Landing page terbuka</x:v>
      </x:c>
      <x:c r="F25" s="50" t="str">
        <x:v>Klik Kontrol Peta dua kali</x:v>
      </x:c>
      <x:c r="G25" s="50" t="str">
        <x:v>Panel membuka dan menutup tanpa kehilangan isi</x:v>
      </x:c>
      <x:c r="H25" s="51" t="str"/>
      <x:c r="I25" s="51" t="str">
        <x:v>Not Tested</x:v>
      </x:c>
      <x:c r="J25" s="50" t="str">
        <x:v>Medium</x:v>
      </x:c>
      <x:c r="K25" s="52" t="str"/>
      <x:c r="L25" s="54"/>
      <x:c r="M25" s="52" t="str"/>
      <x:c r="N25" s="52" t="str"/>
    </x:row>
    <x:row r="26" ht="54" customHeight="1">
      <x:c r="A26" s="50" t="str">
        <x:v>TC-021</x:v>
      </x:c>
      <x:c r="B26" s="50" t="str">
        <x:v>Peta Publik</x:v>
      </x:c>
      <x:c r="C26" s="50" t="str">
        <x:v>Functional</x:v>
      </x:c>
      <x:c r="D26" s="50" t="str">
        <x:v>Mode 2D dapat diaktifkan</x:v>
      </x:c>
      <x:c r="E26" s="50" t="str">
        <x:v>Landing page terbuka</x:v>
      </x:c>
      <x:c r="F26" s="50" t="str">
        <x:v>Pilih mode 2D</x:v>
      </x:c>
      <x:c r="G26" s="50" t="str">
        <x:v>Peta 2D tampil dan kontrol relevan tersedia</x:v>
      </x:c>
      <x:c r="H26" s="51" t="str"/>
      <x:c r="I26" s="51" t="str">
        <x:v>Not Tested</x:v>
      </x:c>
      <x:c r="J26" s="50" t="str">
        <x:v>Medium</x:v>
      </x:c>
      <x:c r="K26" s="52" t="str"/>
      <x:c r="L26" s="54"/>
      <x:c r="M26" s="52" t="str"/>
      <x:c r="N26" s="52" t="str"/>
    </x:row>
    <x:row r="27" ht="54" customHeight="1">
      <x:c r="A27" s="50" t="str">
        <x:v>TC-022</x:v>
      </x:c>
      <x:c r="B27" s="50" t="str">
        <x:v>Peta Publik</x:v>
      </x:c>
      <x:c r="C27" s="50" t="str">
        <x:v>Functional</x:v>
      </x:c>
      <x:c r="D27" s="50" t="str">
        <x:v>Mode 3D dapat diaktifkan</x:v>
      </x:c>
      <x:c r="E27" s="50" t="str">
        <x:v>Landing page terbuka</x:v>
      </x:c>
      <x:c r="F27" s="50" t="str">
        <x:v>Pilih mode 3D</x:v>
      </x:c>
      <x:c r="G27" s="50" t="str">
        <x:v>Scene 3D tampil tanpa error</x:v>
      </x:c>
      <x:c r="H27" s="51" t="str"/>
      <x:c r="I27" s="51" t="str">
        <x:v>Not Tested</x:v>
      </x:c>
      <x:c r="J27" s="50" t="str">
        <x:v>High</x:v>
      </x:c>
      <x:c r="K27" s="52" t="str"/>
      <x:c r="L27" s="54"/>
      <x:c r="M27" s="52" t="str"/>
      <x:c r="N27" s="52" t="str"/>
    </x:row>
    <x:row r="28" ht="54" customHeight="1">
      <x:c r="A28" s="50" t="str">
        <x:v>TC-023</x:v>
      </x:c>
      <x:c r="B28" s="50" t="str">
        <x:v>Peta Publik</x:v>
      </x:c>
      <x:c r="C28" s="50" t="str">
        <x:v>Functional</x:v>
      </x:c>
      <x:c r="D28" s="50" t="str">
        <x:v>Kontrol 3D tetap berisi setelah dibuka ulang</x:v>
      </x:c>
      <x:c r="E28" s="50" t="str">
        <x:v>Landing page terbuka</x:v>
      </x:c>
      <x:c r="F28" s="50" t="str">
        <x:v>Buka 3D, tutup kontrol, lalu buka kembali</x:v>
      </x:c>
      <x:c r="G28" s="50" t="str">
        <x:v>Kontrol tidak kosong</x:v>
      </x:c>
      <x:c r="H28" s="51" t="str"/>
      <x:c r="I28" s="51" t="str">
        <x:v>Not Tested</x:v>
      </x:c>
      <x:c r="J28" s="50" t="str">
        <x:v>High</x:v>
      </x:c>
      <x:c r="K28" s="52" t="str"/>
      <x:c r="L28" s="54"/>
      <x:c r="M28" s="52" t="str"/>
      <x:c r="N28" s="52" t="str"/>
    </x:row>
    <x:row r="29" ht="54" customHeight="1">
      <x:c r="A29" s="50" t="str">
        <x:v>TC-024</x:v>
      </x:c>
      <x:c r="B29" s="50" t="str">
        <x:v>Peta Publik</x:v>
      </x:c>
      <x:c r="C29" s="50" t="str">
        <x:v>Functional</x:v>
      </x:c>
      <x:c r="D29" s="50" t="str">
        <x:v>Pencarian berdasarkan nama</x:v>
      </x:c>
      <x:c r="E29" s="50" t="str">
        <x:v>Landing page terbuka</x:v>
      </x:c>
      <x:c r="F29" s="50" t="str">
        <x:v>Cari nama data yang tersedia</x:v>
      </x:c>
      <x:c r="G29" s="50" t="str">
        <x:v>Hasil relevan ditampilkan</x:v>
      </x:c>
      <x:c r="H29" s="51" t="str"/>
      <x:c r="I29" s="51" t="str">
        <x:v>Not Tested</x:v>
      </x:c>
      <x:c r="J29" s="50" t="str">
        <x:v>Medium</x:v>
      </x:c>
      <x:c r="K29" s="52" t="str"/>
      <x:c r="L29" s="54"/>
      <x:c r="M29" s="52" t="str"/>
      <x:c r="N29" s="52" t="str"/>
    </x:row>
    <x:row r="30" ht="54" customHeight="1">
      <x:c r="A30" s="50" t="str">
        <x:v>TC-025</x:v>
      </x:c>
      <x:c r="B30" s="50" t="str">
        <x:v>Peta Publik</x:v>
      </x:c>
      <x:c r="C30" s="50" t="str">
        <x:v>Functional</x:v>
      </x:c>
      <x:c r="D30" s="50" t="str">
        <x:v>Pencarian berdasarkan kode 3D</x:v>
      </x:c>
      <x:c r="E30" s="50" t="str">
        <x:v>Landing page terbuka</x:v>
      </x:c>
      <x:c r="F30" s="50" t="str">
        <x:v>Cari kode model 3D</x:v>
      </x:c>
      <x:c r="G30" s="50" t="str">
        <x:v>Peta melakukan fly-to ke koordinat model</x:v>
      </x:c>
      <x:c r="H30" s="51" t="str"/>
      <x:c r="I30" s="51" t="str">
        <x:v>Not Tested</x:v>
      </x:c>
      <x:c r="J30" s="50" t="str">
        <x:v>High</x:v>
      </x:c>
      <x:c r="K30" s="52" t="str"/>
      <x:c r="L30" s="54"/>
      <x:c r="M30" s="52" t="str"/>
      <x:c r="N30" s="52" t="str"/>
    </x:row>
    <x:row r="31" ht="54" customHeight="1">
      <x:c r="A31" s="50" t="str">
        <x:v>TC-026</x:v>
      </x:c>
      <x:c r="B31" s="50" t="str">
        <x:v>Peta Publik</x:v>
      </x:c>
      <x:c r="C31" s="50" t="str">
        <x:v>Functional</x:v>
      </x:c>
      <x:c r="D31" s="50" t="str">
        <x:v>Data berkoordinat dapat di-fly-to</x:v>
      </x:c>
      <x:c r="E31" s="50" t="str">
        <x:v>Landing page terbuka</x:v>
      </x:c>
      <x:c r="F31" s="50" t="str">
        <x:v>Pilih hasil pencarian yang memiliki koordinat</x:v>
      </x:c>
      <x:c r="G31" s="50" t="str">
        <x:v>Kamera menuju koordinat yang benar</x:v>
      </x:c>
      <x:c r="H31" s="51" t="str"/>
      <x:c r="I31" s="51" t="str">
        <x:v>Not Tested</x:v>
      </x:c>
      <x:c r="J31" s="50" t="str">
        <x:v>Medium</x:v>
      </x:c>
      <x:c r="K31" s="52" t="str"/>
      <x:c r="L31" s="54"/>
      <x:c r="M31" s="52" t="str"/>
      <x:c r="N31" s="52" t="str"/>
    </x:row>
    <x:row r="32" ht="54" customHeight="1">
      <x:c r="A32" s="50" t="str">
        <x:v>TC-027</x:v>
      </x:c>
      <x:c r="B32" s="50" t="str">
        <x:v>Peta Publik</x:v>
      </x:c>
      <x:c r="C32" s="50" t="str">
        <x:v>Functional</x:v>
      </x:c>
      <x:c r="D32" s="50" t="str">
        <x:v>Popup peta dapat digeser</x:v>
      </x:c>
      <x:c r="E32" s="50" t="str">
        <x:v>Landing page terbuka</x:v>
      </x:c>
      <x:c r="F32" s="50" t="str">
        <x:v>Buka popup lalu drag</x:v>
      </x:c>
      <x:c r="G32" s="50" t="str">
        <x:v>Popup berpindah tanpa menggeser peta secara tidak sengaja</x:v>
      </x:c>
      <x:c r="H32" s="51" t="str"/>
      <x:c r="I32" s="51" t="str">
        <x:v>Not Tested</x:v>
      </x:c>
      <x:c r="J32" s="50" t="str">
        <x:v>Medium</x:v>
      </x:c>
      <x:c r="K32" s="52" t="str"/>
      <x:c r="L32" s="54"/>
      <x:c r="M32" s="52" t="str"/>
      <x:c r="N32" s="52" t="str"/>
    </x:row>
    <x:row r="33" ht="54" customHeight="1">
      <x:c r="A33" s="50" t="str">
        <x:v>TC-028</x:v>
      </x:c>
      <x:c r="B33" s="50" t="str">
        <x:v>Peta Publik</x:v>
      </x:c>
      <x:c r="C33" s="50" t="str">
        <x:v>Functional</x:v>
      </x:c>
      <x:c r="D33" s="50" t="str">
        <x:v>Popup muncul pada posisi default yang nyaman</x:v>
      </x:c>
      <x:c r="E33" s="50" t="str">
        <x:v>Landing page terbuka</x:v>
      </x:c>
      <x:c r="F33" s="50" t="str">
        <x:v>Klik fitur peta</x:v>
      </x:c>
      <x:c r="G33" s="50" t="str">
        <x:v>Popup muncul agak ke tengah-kanan dan tidak terpotong</x:v>
      </x:c>
      <x:c r="H33" s="51" t="str"/>
      <x:c r="I33" s="51" t="str">
        <x:v>Not Tested</x:v>
      </x:c>
      <x:c r="J33" s="50" t="str">
        <x:v>Medium</x:v>
      </x:c>
      <x:c r="K33" s="52" t="str"/>
      <x:c r="L33" s="54"/>
      <x:c r="M33" s="52" t="str"/>
      <x:c r="N33" s="52" t="str"/>
    </x:row>
    <x:row r="34" ht="54" customHeight="1">
      <x:c r="A34" s="50" t="str">
        <x:v>TC-029</x:v>
      </x:c>
      <x:c r="B34" s="50" t="str">
        <x:v>Peta Publik</x:v>
      </x:c>
      <x:c r="C34" s="50" t="str">
        <x:v>Functional</x:v>
      </x:c>
      <x:c r="D34" s="50" t="str">
        <x:v>Layer control menampilkan layer yang diperlukan</x:v>
      </x:c>
      <x:c r="E34" s="50" t="str">
        <x:v>Landing page terbuka</x:v>
      </x:c>
      <x:c r="F34" s="50" t="str">
        <x:v>Buka kontrol layer</x:v>
      </x:c>
      <x:c r="G34" s="50" t="str">
        <x:v>Daftar ringkas, mudah dibaca, dan layer dapat diaktifkan</x:v>
      </x:c>
      <x:c r="H34" s="51" t="str"/>
      <x:c r="I34" s="51" t="str">
        <x:v>Not Tested</x:v>
      </x:c>
      <x:c r="J34" s="50" t="str">
        <x:v>Medium</x:v>
      </x:c>
      <x:c r="K34" s="52" t="str"/>
      <x:c r="L34" s="54"/>
      <x:c r="M34" s="52" t="str"/>
      <x:c r="N34" s="52" t="str"/>
    </x:row>
    <x:row r="35" ht="54" customHeight="1">
      <x:c r="A35" s="50" t="str">
        <x:v>TC-030</x:v>
      </x:c>
      <x:c r="B35" s="50" t="str">
        <x:v>Peta Publik</x:v>
      </x:c>
      <x:c r="C35" s="50" t="str">
        <x:v>Functional</x:v>
      </x:c>
      <x:c r="D35" s="50" t="str">
        <x:v>Skala peta berubah mengikuti zoom</x:v>
      </x:c>
      <x:c r="E35" s="50" t="str">
        <x:v>Landing page terbuka</x:v>
      </x:c>
      <x:c r="F35" s="50" t="str">
        <x:v>Zoom in dan zoom out</x:v>
      </x:c>
      <x:c r="G35" s="50" t="str">
        <x:v>Nilai skala diperbarui secara benar</x:v>
      </x:c>
      <x:c r="H35" s="51" t="str"/>
      <x:c r="I35" s="51" t="str">
        <x:v>Not Tested</x:v>
      </x:c>
      <x:c r="J35" s="50" t="str">
        <x:v>Medium</x:v>
      </x:c>
      <x:c r="K35" s="52" t="str"/>
      <x:c r="L35" s="54"/>
      <x:c r="M35" s="52" t="str"/>
      <x:c r="N35" s="52" t="str"/>
    </x:row>
    <x:row r="36" ht="54" customHeight="1">
      <x:c r="A36" s="50" t="str">
        <x:v>TC-031</x:v>
      </x:c>
      <x:c r="B36" s="50" t="str">
        <x:v>Peta Publik</x:v>
      </x:c>
      <x:c r="C36" s="50" t="str">
        <x:v>Functional</x:v>
      </x:c>
      <x:c r="D36" s="50" t="str">
        <x:v>Klik login dari mode peta membuka panel login</x:v>
      </x:c>
      <x:c r="E36" s="50" t="str">
        <x:v>Landing page terbuka</x:v>
      </x:c>
      <x:c r="F36" s="50" t="str">
        <x:v>Saat peta aktif klik Login</x:v>
      </x:c>
      <x:c r="G36" s="50" t="str">
        <x:v>Panel login langsung terbuka tanpa kembali manual ke hero</x:v>
      </x:c>
      <x:c r="H36" s="51" t="str"/>
      <x:c r="I36" s="51" t="str">
        <x:v>Not Tested</x:v>
      </x:c>
      <x:c r="J36" s="50" t="str">
        <x:v>Medium</x:v>
      </x:c>
      <x:c r="K36" s="52" t="str"/>
      <x:c r="L36" s="54"/>
      <x:c r="M36" s="52" t="str"/>
      <x:c r="N36" s="52" t="str"/>
    </x:row>
    <x:row r="37" ht="54" customHeight="1">
      <x:c r="A37" s="50" t="str">
        <x:v>TC-032</x:v>
      </x:c>
      <x:c r="B37" s="50" t="str">
        <x:v>Autentikasi</x:v>
      </x:c>
      <x:c r="C37" s="50" t="str">
        <x:v>Functional</x:v>
      </x:c>
      <x:c r="D37" s="50" t="str">
        <x:v>Login admin dengan kredensial valid</x:v>
      </x:c>
      <x:c r="E37" s="50" t="str">
        <x:v>Akun QA tersedia</x:v>
      </x:c>
      <x:c r="F37" s="50" t="str">
        <x:v>Masukkan akun admin valid dan kirim</x:v>
      </x:c>
      <x:c r="G37" s="50" t="str">
        <x:v>Admin diarahkan ke dashboard</x:v>
      </x:c>
      <x:c r="H37" s="51" t="str"/>
      <x:c r="I37" s="51" t="str">
        <x:v>Not Tested</x:v>
      </x:c>
      <x:c r="J37" s="50" t="str">
        <x:v>Critical</x:v>
      </x:c>
      <x:c r="K37" s="52" t="str"/>
      <x:c r="L37" s="54"/>
      <x:c r="M37" s="52" t="str"/>
      <x:c r="N37" s="52" t="str"/>
    </x:row>
    <x:row r="38" ht="54" customHeight="1">
      <x:c r="A38" s="50" t="str">
        <x:v>TC-033</x:v>
      </x:c>
      <x:c r="B38" s="50" t="str">
        <x:v>Autentikasi</x:v>
      </x:c>
      <x:c r="C38" s="50" t="str">
        <x:v>Functional</x:v>
      </x:c>
      <x:c r="D38" s="50" t="str">
        <x:v>Login masyarakat dengan kredensial valid</x:v>
      </x:c>
      <x:c r="E38" s="50" t="str">
        <x:v>Akun QA tersedia</x:v>
      </x:c>
      <x:c r="F38" s="50" t="str">
        <x:v>Masukkan akun masyarakat valid dan kirim</x:v>
      </x:c>
      <x:c r="G38" s="50" t="str">
        <x:v>Masyarakat diarahkan ke halaman masyarakat</x:v>
      </x:c>
      <x:c r="H38" s="51" t="str"/>
      <x:c r="I38" s="51" t="str">
        <x:v>Not Tested</x:v>
      </x:c>
      <x:c r="J38" s="50" t="str">
        <x:v>Critical</x:v>
      </x:c>
      <x:c r="K38" s="52" t="str"/>
      <x:c r="L38" s="54"/>
      <x:c r="M38" s="52" t="str"/>
      <x:c r="N38" s="52" t="str"/>
    </x:row>
    <x:row r="39" ht="54" customHeight="1">
      <x:c r="A39" s="50" t="str">
        <x:v>TC-034</x:v>
      </x:c>
      <x:c r="B39" s="50" t="str">
        <x:v>Autentikasi</x:v>
      </x:c>
      <x:c r="C39" s="50" t="str">
        <x:v>Functional</x:v>
      </x:c>
      <x:c r="D39" s="50" t="str">
        <x:v>Login dengan password salah</x:v>
      </x:c>
      <x:c r="E39" s="50" t="str">
        <x:v>Akun QA tersedia</x:v>
      </x:c>
      <x:c r="F39" s="50" t="str">
        <x:v>Masukkan akun valid dan password salah</x:v>
      </x:c>
      <x:c r="G39" s="50" t="str">
        <x:v>Login ditolak dengan pesan yang aman</x:v>
      </x:c>
      <x:c r="H39" s="51" t="str"/>
      <x:c r="I39" s="51" t="str">
        <x:v>Not Tested</x:v>
      </x:c>
      <x:c r="J39" s="50" t="str">
        <x:v>High</x:v>
      </x:c>
      <x:c r="K39" s="52" t="str"/>
      <x:c r="L39" s="54"/>
      <x:c r="M39" s="52" t="str"/>
      <x:c r="N39" s="52" t="str"/>
    </x:row>
    <x:row r="40" ht="54" customHeight="1">
      <x:c r="A40" s="50" t="str">
        <x:v>TC-035</x:v>
      </x:c>
      <x:c r="B40" s="50" t="str">
        <x:v>Autentikasi</x:v>
      </x:c>
      <x:c r="C40" s="50" t="str">
        <x:v>Functional</x:v>
      </x:c>
      <x:c r="D40" s="50" t="str">
        <x:v>Login dengan akun tidak terdaftar</x:v>
      </x:c>
      <x:c r="E40" s="50" t="str">
        <x:v>Akun QA tersedia</x:v>
      </x:c>
      <x:c r="F40" s="50" t="str">
        <x:v>Masukkan identitas yang tidak ada</x:v>
      </x:c>
      <x:c r="G40" s="50" t="str">
        <x:v>Login ditolak tanpa membocorkan keberadaan akun</x:v>
      </x:c>
      <x:c r="H40" s="51" t="str"/>
      <x:c r="I40" s="51" t="str">
        <x:v>Not Tested</x:v>
      </x:c>
      <x:c r="J40" s="50" t="str">
        <x:v>High</x:v>
      </x:c>
      <x:c r="K40" s="52" t="str"/>
      <x:c r="L40" s="54"/>
      <x:c r="M40" s="52" t="str"/>
      <x:c r="N40" s="52" t="str"/>
    </x:row>
    <x:row r="41" ht="54" customHeight="1">
      <x:c r="A41" s="50" t="str">
        <x:v>TC-036</x:v>
      </x:c>
      <x:c r="B41" s="50" t="str">
        <x:v>Autentikasi</x:v>
      </x:c>
      <x:c r="C41" s="50" t="str">
        <x:v>Functional</x:v>
      </x:c>
      <x:c r="D41" s="50" t="str">
        <x:v>Login dengan kolom kosong</x:v>
      </x:c>
      <x:c r="E41" s="50" t="str">
        <x:v>Akun QA tersedia</x:v>
      </x:c>
      <x:c r="F41" s="50" t="str">
        <x:v>Kirim form tanpa mengisi data</x:v>
      </x:c>
      <x:c r="G41" s="50" t="str">
        <x:v>Validasi wajib tampil dan request tidak diproses</x:v>
      </x:c>
      <x:c r="H41" s="51" t="str"/>
      <x:c r="I41" s="51" t="str">
        <x:v>Not Tested</x:v>
      </x:c>
      <x:c r="J41" s="50" t="str">
        <x:v>Medium</x:v>
      </x:c>
      <x:c r="K41" s="52" t="str"/>
      <x:c r="L41" s="54"/>
      <x:c r="M41" s="52" t="str"/>
      <x:c r="N41" s="52" t="str"/>
    </x:row>
    <x:row r="42" ht="54" customHeight="1">
      <x:c r="A42" s="50" t="str">
        <x:v>TC-037</x:v>
      </x:c>
      <x:c r="B42" s="50" t="str">
        <x:v>Autentikasi</x:v>
      </x:c>
      <x:c r="C42" s="50" t="str">
        <x:v>Functional</x:v>
      </x:c>
      <x:c r="D42" s="50" t="str">
        <x:v>Login dengan spasi awal/akhir</x:v>
      </x:c>
      <x:c r="E42" s="50" t="str">
        <x:v>Akun QA tersedia</x:v>
      </x:c>
      <x:c r="F42" s="50" t="str">
        <x:v>Tambahkan spasi pada identitas</x:v>
      </x:c>
      <x:c r="G42" s="50" t="str">
        <x:v>Input ditangani konsisten tanpa error 500</x:v>
      </x:c>
      <x:c r="H42" s="51" t="str"/>
      <x:c r="I42" s="51" t="str">
        <x:v>Not Tested</x:v>
      </x:c>
      <x:c r="J42" s="50" t="str">
        <x:v>Medium</x:v>
      </x:c>
      <x:c r="K42" s="52" t="str"/>
      <x:c r="L42" s="54"/>
      <x:c r="M42" s="52" t="str"/>
      <x:c r="N42" s="52" t="str"/>
    </x:row>
    <x:row r="43" ht="54" customHeight="1">
      <x:c r="A43" s="50" t="str">
        <x:v>TC-038</x:v>
      </x:c>
      <x:c r="B43" s="50" t="str">
        <x:v>Autentikasi</x:v>
      </x:c>
      <x:c r="C43" s="50" t="str">
        <x:v>Functional</x:v>
      </x:c>
      <x:c r="D43" s="50" t="str">
        <x:v>Login ganda tidak membuat state rusak</x:v>
      </x:c>
      <x:c r="E43" s="50" t="str">
        <x:v>Akun QA tersedia</x:v>
      </x:c>
      <x:c r="F43" s="50" t="str">
        <x:v>Klik tombol login dua kali cepat</x:v>
      </x:c>
      <x:c r="G43" s="50" t="str">
        <x:v>Hanya satu session dibuat dan tombol tidak menggandakan request</x:v>
      </x:c>
      <x:c r="H43" s="51" t="str"/>
      <x:c r="I43" s="51" t="str">
        <x:v>Not Tested</x:v>
      </x:c>
      <x:c r="J43" s="50" t="str">
        <x:v>Medium</x:v>
      </x:c>
      <x:c r="K43" s="52" t="str"/>
      <x:c r="L43" s="54"/>
      <x:c r="M43" s="52" t="str"/>
      <x:c r="N43" s="52" t="str"/>
    </x:row>
    <x:row r="44" ht="54" customHeight="1">
      <x:c r="A44" s="50" t="str">
        <x:v>TC-039</x:v>
      </x:c>
      <x:c r="B44" s="50" t="str">
        <x:v>Autentikasi</x:v>
      </x:c>
      <x:c r="C44" s="50" t="str">
        <x:v>Functional</x:v>
      </x:c>
      <x:c r="D44" s="50" t="str">
        <x:v>Logout menghapus session</x:v>
      </x:c>
      <x:c r="E44" s="50" t="str">
        <x:v>Akun QA tersedia</x:v>
      </x:c>
      <x:c r="F44" s="50" t="str">
        <x:v>Login lalu klik Logout</x:v>
      </x:c>
      <x:c r="G44" s="50" t="str">
        <x:v>Kembali ke halaman publik dan session tidak berlaku</x:v>
      </x:c>
      <x:c r="H44" s="51" t="str"/>
      <x:c r="I44" s="51" t="str">
        <x:v>Not Tested</x:v>
      </x:c>
      <x:c r="J44" s="50" t="str">
        <x:v>Critical</x:v>
      </x:c>
      <x:c r="K44" s="52" t="str"/>
      <x:c r="L44" s="54"/>
      <x:c r="M44" s="52" t="str"/>
      <x:c r="N44" s="52" t="str"/>
    </x:row>
    <x:row r="45" ht="54" customHeight="1">
      <x:c r="A45" s="50" t="str">
        <x:v>TC-040</x:v>
      </x:c>
      <x:c r="B45" s="50" t="str">
        <x:v>Autentikasi</x:v>
      </x:c>
      <x:c r="C45" s="50" t="str">
        <x:v>Functional</x:v>
      </x:c>
      <x:c r="D45" s="50" t="str">
        <x:v>Back setelah logout tidak membuka halaman privat</x:v>
      </x:c>
      <x:c r="E45" s="50" t="str">
        <x:v>Akun QA tersedia</x:v>
      </x:c>
      <x:c r="F45" s="50" t="str">
        <x:v>Logout lalu tekan tombol Back</x:v>
      </x:c>
      <x:c r="G45" s="50" t="str">
        <x:v>Halaman privat tetap ditolak</x:v>
      </x:c>
      <x:c r="H45" s="51" t="str"/>
      <x:c r="I45" s="51" t="str">
        <x:v>Not Tested</x:v>
      </x:c>
      <x:c r="J45" s="50" t="str">
        <x:v>Critical</x:v>
      </x:c>
      <x:c r="K45" s="52" t="str"/>
      <x:c r="L45" s="54"/>
      <x:c r="M45" s="52" t="str"/>
      <x:c r="N45" s="52" t="str"/>
    </x:row>
    <x:row r="46" ht="54" customHeight="1">
      <x:c r="A46" s="50" t="str">
        <x:v>TC-041</x:v>
      </x:c>
      <x:c r="B46" s="50" t="str">
        <x:v>Autentikasi</x:v>
      </x:c>
      <x:c r="C46" s="50" t="str">
        <x:v>Functional</x:v>
      </x:c>
      <x:c r="D46" s="50" t="str">
        <x:v>Refresh mempertahankan session valid</x:v>
      </x:c>
      <x:c r="E46" s="50" t="str">
        <x:v>Akun QA tersedia</x:v>
      </x:c>
      <x:c r="F46" s="50" t="str">
        <x:v>Login lalu refresh dashboard</x:v>
      </x:c>
      <x:c r="G46" s="50" t="str">
        <x:v>Pengguna tetap login</x:v>
      </x:c>
      <x:c r="H46" s="51" t="str"/>
      <x:c r="I46" s="51" t="str">
        <x:v>Not Tested</x:v>
      </x:c>
      <x:c r="J46" s="50" t="str">
        <x:v>High</x:v>
      </x:c>
      <x:c r="K46" s="52" t="str"/>
      <x:c r="L46" s="54"/>
      <x:c r="M46" s="52" t="str"/>
      <x:c r="N46" s="52" t="str"/>
    </x:row>
    <x:row r="47" ht="54" customHeight="1">
      <x:c r="A47" s="50" t="str">
        <x:v>TC-042</x:v>
      </x:c>
      <x:c r="B47" s="50" t="str">
        <x:v>Autentikasi</x:v>
      </x:c>
      <x:c r="C47" s="50" t="str">
        <x:v>Functional</x:v>
      </x:c>
      <x:c r="D47" s="50" t="str">
        <x:v>Token tidak tampil di URL</x:v>
      </x:c>
      <x:c r="E47" s="50" t="str">
        <x:v>Akun QA tersedia</x:v>
      </x:c>
      <x:c r="F47" s="50" t="str">
        <x:v>Login dan periksa address bar/history</x:v>
      </x:c>
      <x:c r="G47" s="50" t="str">
        <x:v>Token/JWT tidak pernah berada pada URL</x:v>
      </x:c>
      <x:c r="H47" s="51" t="str"/>
      <x:c r="I47" s="51" t="str">
        <x:v>Not Tested</x:v>
      </x:c>
      <x:c r="J47" s="50" t="str">
        <x:v>Critical</x:v>
      </x:c>
      <x:c r="K47" s="52" t="str"/>
      <x:c r="L47" s="54"/>
      <x:c r="M47" s="52" t="str"/>
      <x:c r="N47" s="52" t="str"/>
    </x:row>
    <x:row r="48" ht="54" customHeight="1">
      <x:c r="A48" s="50" t="str">
        <x:v>TC-043</x:v>
      </x:c>
      <x:c r="B48" s="50" t="str">
        <x:v>Autentikasi</x:v>
      </x:c>
      <x:c r="C48" s="50" t="str">
        <x:v>Functional</x:v>
      </x:c>
      <x:c r="D48" s="50" t="str">
        <x:v>Session tidak valid diarahkan ke login</x:v>
      </x:c>
      <x:c r="E48" s="50" t="str">
        <x:v>Akun QA tersedia</x:v>
      </x:c>
      <x:c r="F48" s="50" t="str">
        <x:v>Gunakan session kedaluwarsa/tidak valid</x:v>
      </x:c>
      <x:c r="G48" s="50" t="str">
        <x:v>Akses privat ditolak dan pengguna diarahkan secara aman</x:v>
      </x:c>
      <x:c r="H48" s="51" t="str"/>
      <x:c r="I48" s="51" t="str">
        <x:v>Not Tested</x:v>
      </x:c>
      <x:c r="J48" s="50" t="str">
        <x:v>High</x:v>
      </x:c>
      <x:c r="K48" s="52" t="str"/>
      <x:c r="L48" s="54"/>
      <x:c r="M48" s="52" t="str"/>
      <x:c r="N48" s="52" t="str"/>
    </x:row>
    <x:row r="49" ht="54" customHeight="1">
      <x:c r="A49" s="50" t="str">
        <x:v>TC-044</x:v>
      </x:c>
      <x:c r="B49" s="50" t="str">
        <x:v>Otorisasi</x:v>
      </x:c>
      <x:c r="C49" s="50" t="str">
        <x:v>Security</x:v>
      </x:c>
      <x:c r="D49" s="50" t="str">
        <x:v>Admin dapat mengakses seluruh menu kelola</x:v>
      </x:c>
      <x:c r="E49" s="50" t="str">
        <x:v>Akun admin dan masyarakat tersedia</x:v>
      </x:c>
      <x:c r="F49" s="50" t="str">
        <x:v>Login admin dan buka seluruh menu</x:v>
      </x:c>
      <x:c r="G49" s="50" t="str">
        <x:v>Semua menu admin yang sah dapat diakses</x:v>
      </x:c>
      <x:c r="H49" s="51" t="str"/>
      <x:c r="I49" s="51" t="str">
        <x:v>Not Tested</x:v>
      </x:c>
      <x:c r="J49" s="50" t="str">
        <x:v>Critical</x:v>
      </x:c>
      <x:c r="K49" s="52" t="str"/>
      <x:c r="L49" s="54"/>
      <x:c r="M49" s="52" t="str"/>
      <x:c r="N49" s="52" t="str"/>
    </x:row>
    <x:row r="50" ht="54" customHeight="1">
      <x:c r="A50" s="50" t="str">
        <x:v>TC-045</x:v>
      </x:c>
      <x:c r="B50" s="50" t="str">
        <x:v>Otorisasi</x:v>
      </x:c>
      <x:c r="C50" s="50" t="str">
        <x:v>Security</x:v>
      </x:c>
      <x:c r="D50" s="50" t="str">
        <x:v>Masyarakat tidak dapat membuka dashboard admin</x:v>
      </x:c>
      <x:c r="E50" s="50" t="str">
        <x:v>Akun admin dan masyarakat tersedia</x:v>
      </x:c>
      <x:c r="F50" s="50" t="str">
        <x:v>Login masyarakat lalu akses URL dashboard admin</x:v>
      </x:c>
      <x:c r="G50" s="50" t="str">
        <x:v>Akses ditolak atau diarahkan</x:v>
      </x:c>
      <x:c r="H50" s="51" t="str"/>
      <x:c r="I50" s="51" t="str">
        <x:v>Not Tested</x:v>
      </x:c>
      <x:c r="J50" s="50" t="str">
        <x:v>Critical</x:v>
      </x:c>
      <x:c r="K50" s="52" t="str"/>
      <x:c r="L50" s="54"/>
      <x:c r="M50" s="52" t="str"/>
      <x:c r="N50" s="52" t="str"/>
    </x:row>
    <x:row r="51" ht="54" customHeight="1">
      <x:c r="A51" s="50" t="str">
        <x:v>TC-046</x:v>
      </x:c>
      <x:c r="B51" s="50" t="str">
        <x:v>Otorisasi</x:v>
      </x:c>
      <x:c r="C51" s="50" t="str">
        <x:v>Security</x:v>
      </x:c>
      <x:c r="D51" s="50" t="str">
        <x:v>Masyarakat tidak dapat membuka route kelola langsung</x:v>
      </x:c>
      <x:c r="E51" s="50" t="str">
        <x:v>Akun admin dan masyarakat tersedia</x:v>
      </x:c>
      <x:c r="F51" s="50" t="str">
        <x:v>Ubah URL ke route kelola</x:v>
      </x:c>
      <x:c r="G51" s="50" t="str">
        <x:v>Akses ditolak</x:v>
      </x:c>
      <x:c r="H51" s="51" t="str"/>
      <x:c r="I51" s="51" t="str">
        <x:v>Not Tested</x:v>
      </x:c>
      <x:c r="J51" s="50" t="str">
        <x:v>Critical</x:v>
      </x:c>
      <x:c r="K51" s="52" t="str"/>
      <x:c r="L51" s="54"/>
      <x:c r="M51" s="52" t="str"/>
      <x:c r="N51" s="52" t="str"/>
    </x:row>
    <x:row r="52" ht="54" customHeight="1">
      <x:c r="A52" s="50" t="str">
        <x:v>TC-047</x:v>
      </x:c>
      <x:c r="B52" s="50" t="str">
        <x:v>Otorisasi</x:v>
      </x:c>
      <x:c r="C52" s="50" t="str">
        <x:v>Security</x:v>
      </x:c>
      <x:c r="D52" s="50" t="str">
        <x:v>Masyarakat tidak dapat memanggil API create</x:v>
      </x:c>
      <x:c r="E52" s="50" t="str">
        <x:v>Akun admin dan masyarakat tersedia</x:v>
      </x:c>
      <x:c r="F52" s="50" t="str">
        <x:v>Kirim request create dengan token masyarakat</x:v>
      </x:c>
      <x:c r="G52" s="50" t="str">
        <x:v>API merespons 403</x:v>
      </x:c>
      <x:c r="H52" s="51" t="str"/>
      <x:c r="I52" s="51" t="str">
        <x:v>Not Tested</x:v>
      </x:c>
      <x:c r="J52" s="50" t="str">
        <x:v>Critical</x:v>
      </x:c>
      <x:c r="K52" s="52" t="str"/>
      <x:c r="L52" s="54"/>
      <x:c r="M52" s="52" t="str"/>
      <x:c r="N52" s="52" t="str"/>
    </x:row>
    <x:row r="53" ht="54" customHeight="1">
      <x:c r="A53" s="50" t="str">
        <x:v>TC-048</x:v>
      </x:c>
      <x:c r="B53" s="50" t="str">
        <x:v>Otorisasi</x:v>
      </x:c>
      <x:c r="C53" s="50" t="str">
        <x:v>Security</x:v>
      </x:c>
      <x:c r="D53" s="50" t="str">
        <x:v>Masyarakat tidak dapat memanggil API update</x:v>
      </x:c>
      <x:c r="E53" s="50" t="str">
        <x:v>Akun admin dan masyarakat tersedia</x:v>
      </x:c>
      <x:c r="F53" s="50" t="str">
        <x:v>Kirim request update dengan token masyarakat</x:v>
      </x:c>
      <x:c r="G53" s="50" t="str">
        <x:v>API merespons 403</x:v>
      </x:c>
      <x:c r="H53" s="51" t="str"/>
      <x:c r="I53" s="51" t="str">
        <x:v>Not Tested</x:v>
      </x:c>
      <x:c r="J53" s="50" t="str">
        <x:v>Critical</x:v>
      </x:c>
      <x:c r="K53" s="52" t="str"/>
      <x:c r="L53" s="54"/>
      <x:c r="M53" s="52" t="str"/>
      <x:c r="N53" s="52" t="str"/>
    </x:row>
    <x:row r="54" ht="54" customHeight="1">
      <x:c r="A54" s="50" t="str">
        <x:v>TC-049</x:v>
      </x:c>
      <x:c r="B54" s="50" t="str">
        <x:v>Otorisasi</x:v>
      </x:c>
      <x:c r="C54" s="50" t="str">
        <x:v>Security</x:v>
      </x:c>
      <x:c r="D54" s="50" t="str">
        <x:v>Masyarakat tidak dapat memanggil API delete</x:v>
      </x:c>
      <x:c r="E54" s="50" t="str">
        <x:v>Akun admin dan masyarakat tersedia</x:v>
      </x:c>
      <x:c r="F54" s="50" t="str">
        <x:v>Kirim request delete dengan token masyarakat</x:v>
      </x:c>
      <x:c r="G54" s="50" t="str">
        <x:v>API merespons 403</x:v>
      </x:c>
      <x:c r="H54" s="51" t="str"/>
      <x:c r="I54" s="51" t="str">
        <x:v>Not Tested</x:v>
      </x:c>
      <x:c r="J54" s="50" t="str">
        <x:v>Critical</x:v>
      </x:c>
      <x:c r="K54" s="52" t="str"/>
      <x:c r="L54" s="54"/>
      <x:c r="M54" s="52" t="str"/>
      <x:c r="N54" s="52" t="str"/>
    </x:row>
    <x:row r="55" ht="54" customHeight="1">
      <x:c r="A55" s="50" t="str">
        <x:v>TC-050</x:v>
      </x:c>
      <x:c r="B55" s="50" t="str">
        <x:v>Otorisasi</x:v>
      </x:c>
      <x:c r="C55" s="50" t="str">
        <x:v>Security</x:v>
      </x:c>
      <x:c r="D55" s="50" t="str">
        <x:v>Request privat tanpa token ditolak</x:v>
      </x:c>
      <x:c r="E55" s="50" t="str">
        <x:v>Akun admin dan masyarakat tersedia</x:v>
      </x:c>
      <x:c r="F55" s="50" t="str">
        <x:v>Panggil endpoint privat tanpa Authorization</x:v>
      </x:c>
      <x:c r="G55" s="50" t="str">
        <x:v>API merespons 401</x:v>
      </x:c>
      <x:c r="H55" s="51" t="str"/>
      <x:c r="I55" s="51" t="str">
        <x:v>Not Tested</x:v>
      </x:c>
      <x:c r="J55" s="50" t="str">
        <x:v>Critical</x:v>
      </x:c>
      <x:c r="K55" s="52" t="str"/>
      <x:c r="L55" s="54"/>
      <x:c r="M55" s="52" t="str"/>
      <x:c r="N55" s="52" t="str"/>
    </x:row>
    <x:row r="56" ht="54" customHeight="1">
      <x:c r="A56" s="50" t="str">
        <x:v>TC-051</x:v>
      </x:c>
      <x:c r="B56" s="50" t="str">
        <x:v>Otorisasi</x:v>
      </x:c>
      <x:c r="C56" s="50" t="str">
        <x:v>Security</x:v>
      </x:c>
      <x:c r="D56" s="50" t="str">
        <x:v>Pengguna tidak dapat mengakses data di luar izin melalui perubahan ID</x:v>
      </x:c>
      <x:c r="E56" s="50" t="str">
        <x:v>Akun admin dan masyarakat tersedia</x:v>
      </x:c>
      <x:c r="F56" s="50" t="str">
        <x:v>Ubah ID resource pada URL/request</x:v>
      </x:c>
      <x:c r="G56" s="50" t="str">
        <x:v>Backend tetap menerapkan otorisasi</x:v>
      </x:c>
      <x:c r="H56" s="51" t="str"/>
      <x:c r="I56" s="51" t="str">
        <x:v>Not Tested</x:v>
      </x:c>
      <x:c r="J56" s="50" t="str">
        <x:v>Critical</x:v>
      </x:c>
      <x:c r="K56" s="52" t="str"/>
      <x:c r="L56" s="54"/>
      <x:c r="M56" s="52" t="str"/>
      <x:c r="N56" s="52" t="str"/>
    </x:row>
    <x:row r="57" ht="54" customHeight="1">
      <x:c r="A57" s="50" t="str">
        <x:v>TC-052</x:v>
      </x:c>
      <x:c r="B57" s="50" t="str">
        <x:v>Dashboard</x:v>
      </x:c>
      <x:c r="C57" s="50" t="str">
        <x:v>Functional</x:v>
      </x:c>
      <x:c r="D57" s="50" t="str">
        <x:v>Dashboard memuat tanpa error</x:v>
      </x:c>
      <x:c r="E57" s="50" t="str">
        <x:v>Admin sudah login</x:v>
      </x:c>
      <x:c r="F57" s="50" t="str">
        <x:v>Login admin dan buka Dashboard</x:v>
      </x:c>
      <x:c r="G57" s="50" t="str">
        <x:v>Kartu dan diagram tampil tanpa error</x:v>
      </x:c>
      <x:c r="H57" s="51" t="str"/>
      <x:c r="I57" s="51" t="str">
        <x:v>Not Tested</x:v>
      </x:c>
      <x:c r="J57" s="50" t="str">
        <x:v>Medium</x:v>
      </x:c>
      <x:c r="K57" s="52" t="str"/>
      <x:c r="L57" s="54"/>
      <x:c r="M57" s="52" t="str"/>
      <x:c r="N57" s="52" t="str"/>
    </x:row>
    <x:row r="58" ht="54" customHeight="1">
      <x:c r="A58" s="50" t="str">
        <x:v>TC-053</x:v>
      </x:c>
      <x:c r="B58" s="50" t="str">
        <x:v>Dashboard</x:v>
      </x:c>
      <x:c r="C58" s="50" t="str">
        <x:v>Functional</x:v>
      </x:c>
      <x:c r="D58" s="50" t="str">
        <x:v>Ringkasan Digital Twin menggunakan data terbaru</x:v>
      </x:c>
      <x:c r="E58" s="50" t="str">
        <x:v>Admin sudah login</x:v>
      </x:c>
      <x:c r="F58" s="50" t="str">
        <x:v>Bandingkan KPI dengan data menu terkait</x:v>
      </x:c>
      <x:c r="G58" s="50" t="str">
        <x:v>Nilai ringkasan konsisten</x:v>
      </x:c>
      <x:c r="H58" s="51" t="str"/>
      <x:c r="I58" s="51" t="str">
        <x:v>Not Tested</x:v>
      </x:c>
      <x:c r="J58" s="50" t="str">
        <x:v>Medium</x:v>
      </x:c>
      <x:c r="K58" s="52" t="str"/>
      <x:c r="L58" s="54"/>
      <x:c r="M58" s="52" t="str"/>
      <x:c r="N58" s="52" t="str"/>
    </x:row>
    <x:row r="59" ht="54" customHeight="1">
      <x:c r="A59" s="50" t="str">
        <x:v>TC-054</x:v>
      </x:c>
      <x:c r="B59" s="50" t="str">
        <x:v>Dashboard</x:v>
      </x:c>
      <x:c r="C59" s="50" t="str">
        <x:v>Functional</x:v>
      </x:c>
      <x:c r="D59" s="50" t="str">
        <x:v>Ringkasan penyewaan menggunakan data terbaru</x:v>
      </x:c>
      <x:c r="E59" s="50" t="str">
        <x:v>Admin sudah login</x:v>
      </x:c>
      <x:c r="F59" s="50" t="str">
        <x:v>Bandingkan KPI sewa dengan daftar penyewaan</x:v>
      </x:c>
      <x:c r="G59" s="50" t="str">
        <x:v>Nilai ringkasan konsisten</x:v>
      </x:c>
      <x:c r="H59" s="51" t="str"/>
      <x:c r="I59" s="51" t="str">
        <x:v>Not Tested</x:v>
      </x:c>
      <x:c r="J59" s="50" t="str">
        <x:v>Medium</x:v>
      </x:c>
      <x:c r="K59" s="52" t="str"/>
      <x:c r="L59" s="54"/>
      <x:c r="M59" s="52" t="str"/>
      <x:c r="N59" s="52" t="str"/>
    </x:row>
    <x:row r="60" ht="54" customHeight="1">
      <x:c r="A60" s="50" t="str">
        <x:v>TC-055</x:v>
      </x:c>
      <x:c r="B60" s="50" t="str">
        <x:v>Dashboard</x:v>
      </x:c>
      <x:c r="C60" s="50" t="str">
        <x:v>Functional</x:v>
      </x:c>
      <x:c r="D60" s="50" t="str">
        <x:v>Diagram tampil pada data kosong</x:v>
      </x:c>
      <x:c r="E60" s="50" t="str">
        <x:v>Admin sudah login</x:v>
      </x:c>
      <x:c r="F60" s="50" t="str">
        <x:v>Gunakan kondisi/filter tanpa data</x:v>
      </x:c>
      <x:c r="G60" s="50" t="str">
        <x:v>Diagram menampilkan empty state, bukan error</x:v>
      </x:c>
      <x:c r="H60" s="51" t="str"/>
      <x:c r="I60" s="51" t="str">
        <x:v>Not Tested</x:v>
      </x:c>
      <x:c r="J60" s="50" t="str">
        <x:v>Medium</x:v>
      </x:c>
      <x:c r="K60" s="52" t="str"/>
      <x:c r="L60" s="54"/>
      <x:c r="M60" s="52" t="str"/>
      <x:c r="N60" s="52" t="str"/>
    </x:row>
    <x:row r="61" ht="54" customHeight="1">
      <x:c r="A61" s="50" t="str">
        <x:v>TC-056</x:v>
      </x:c>
      <x:c r="B61" s="50" t="str">
        <x:v>Dashboard</x:v>
      </x:c>
      <x:c r="C61" s="50" t="str">
        <x:v>Functional</x:v>
      </x:c>
      <x:c r="D61" s="50" t="str">
        <x:v>Diagram menyesuaikan ukuran layar</x:v>
      </x:c>
      <x:c r="E61" s="50" t="str">
        <x:v>Admin sudah login</x:v>
      </x:c>
      <x:c r="F61" s="50" t="str">
        <x:v>Ubah lebar viewport</x:v>
      </x:c>
      <x:c r="G61" s="50" t="str">
        <x:v>Diagram tidak terpotong atau menyebabkan scroll horizontal</x:v>
      </x:c>
      <x:c r="H61" s="51" t="str"/>
      <x:c r="I61" s="51" t="str">
        <x:v>Not Tested</x:v>
      </x:c>
      <x:c r="J61" s="50" t="str">
        <x:v>Medium</x:v>
      </x:c>
      <x:c r="K61" s="52" t="str"/>
      <x:c r="L61" s="54"/>
      <x:c r="M61" s="52" t="str"/>
      <x:c r="N61" s="52" t="str"/>
    </x:row>
    <x:row r="62" ht="54" customHeight="1">
      <x:c r="A62" s="50" t="str">
        <x:v>TC-057</x:v>
      </x:c>
      <x:c r="B62" s="50" t="str">
        <x:v>Dashboard</x:v>
      </x:c>
      <x:c r="C62" s="50" t="str">
        <x:v>Functional</x:v>
      </x:c>
      <x:c r="D62" s="50" t="str">
        <x:v>Sidebar membuka dengan animasi ringan</x:v>
      </x:c>
      <x:c r="E62" s="50" t="str">
        <x:v>Admin sudah login</x:v>
      </x:c>
      <x:c r="F62" s="50" t="str">
        <x:v>Buka/tutup sidebar</x:v>
      </x:c>
      <x:c r="G62" s="50" t="str">
        <x:v>Animasi halus dan tidak menghambat interaksi</x:v>
      </x:c>
      <x:c r="H62" s="51" t="str"/>
      <x:c r="I62" s="51" t="str">
        <x:v>Not Tested</x:v>
      </x:c>
      <x:c r="J62" s="50" t="str">
        <x:v>Medium</x:v>
      </x:c>
      <x:c r="K62" s="52" t="str"/>
      <x:c r="L62" s="54"/>
      <x:c r="M62" s="52" t="str"/>
      <x:c r="N62" s="52" t="str"/>
    </x:row>
    <x:row r="63" ht="54" customHeight="1">
      <x:c r="A63" s="50" t="str">
        <x:v>TC-058</x:v>
      </x:c>
      <x:c r="B63" s="50" t="str">
        <x:v>Dashboard</x:v>
      </x:c>
      <x:c r="C63" s="50" t="str">
        <x:v>Functional</x:v>
      </x:c>
      <x:c r="D63" s="50" t="str">
        <x:v>Ukuran sidebar konsisten</x:v>
      </x:c>
      <x:c r="E63" s="50" t="str">
        <x:v>Admin sudah login</x:v>
      </x:c>
      <x:c r="F63" s="50" t="str">
        <x:v>Pindah antarhalaman</x:v>
      </x:c>
      <x:c r="G63" s="50" t="str">
        <x:v>Lebar sidebar dan navbar tetap</x:v>
      </x:c>
      <x:c r="H63" s="51" t="str"/>
      <x:c r="I63" s="51" t="str">
        <x:v>Not Tested</x:v>
      </x:c>
      <x:c r="J63" s="50" t="str">
        <x:v>Medium</x:v>
      </x:c>
      <x:c r="K63" s="52" t="str"/>
      <x:c r="L63" s="54"/>
      <x:c r="M63" s="52" t="str"/>
      <x:c r="N63" s="52" t="str"/>
    </x:row>
    <x:row r="64" ht="54" customHeight="1">
      <x:c r="A64" s="50" t="str">
        <x:v>TC-059</x:v>
      </x:c>
      <x:c r="B64" s="50" t="str">
        <x:v>Dashboard</x:v>
      </x:c>
      <x:c r="C64" s="50" t="str">
        <x:v>Functional</x:v>
      </x:c>
      <x:c r="D64" s="50" t="str">
        <x:v>Menu Peta berada di bawah Dashboard</x:v>
      </x:c>
      <x:c r="E64" s="50" t="str">
        <x:v>Admin sudah login</x:v>
      </x:c>
      <x:c r="F64" s="50" t="str">
        <x:v>Periksa urutan sidebar</x:v>
      </x:c>
      <x:c r="G64" s="50" t="str">
        <x:v>Urutan menu sesuai desain</x:v>
      </x:c>
      <x:c r="H64" s="51" t="str"/>
      <x:c r="I64" s="51" t="str">
        <x:v>Not Tested</x:v>
      </x:c>
      <x:c r="J64" s="50" t="str">
        <x:v>Medium</x:v>
      </x:c>
      <x:c r="K64" s="52" t="str"/>
      <x:c r="L64" s="54"/>
      <x:c r="M64" s="52" t="str"/>
      <x:c r="N64" s="52" t="str"/>
    </x:row>
    <x:row r="65" ht="54" customHeight="1">
      <x:c r="A65" s="50" t="str">
        <x:v>TC-060</x:v>
      </x:c>
      <x:c r="B65" s="50" t="str">
        <x:v>Data Legal</x:v>
      </x:c>
      <x:c r="C65" s="50" t="str">
        <x:v>Functional</x:v>
      </x:c>
      <x:c r="D65" s="50" t="str">
        <x:v>Daftar Data Legal dapat dimuat</x:v>
      </x:c>
      <x:c r="E65" s="50" t="str">
        <x:v>Admin sudah login</x:v>
      </x:c>
      <x:c r="F65" s="50" t="str">
        <x:v>Buka menu Data Legal</x:v>
      </x:c>
      <x:c r="G65" s="50" t="str">
        <x:v>Tabel tampil tanpa error dan data berasal dari database</x:v>
      </x:c>
      <x:c r="H65" s="51" t="str"/>
      <x:c r="I65" s="51" t="str">
        <x:v>Not Tested</x:v>
      </x:c>
      <x:c r="J65" s="50" t="str">
        <x:v>High</x:v>
      </x:c>
      <x:c r="K65" s="52" t="str"/>
      <x:c r="L65" s="54"/>
      <x:c r="M65" s="52" t="str"/>
      <x:c r="N65" s="52" t="str"/>
    </x:row>
    <x:row r="66" ht="54" customHeight="1">
      <x:c r="A66" s="50" t="str">
        <x:v>TC-061</x:v>
      </x:c>
      <x:c r="B66" s="50" t="str">
        <x:v>Data Legal</x:v>
      </x:c>
      <x:c r="C66" s="50" t="str">
        <x:v>Functional</x:v>
      </x:c>
      <x:c r="D66" s="50" t="str">
        <x:v>Pencarian Data Legal bekerja</x:v>
      </x:c>
      <x:c r="E66" s="50" t="str">
        <x:v>Menu Data Legal terbuka</x:v>
      </x:c>
      <x:c r="F66" s="50" t="str">
        <x:v>Masukkan kata kunci yang diketahui</x:v>
      </x:c>
      <x:c r="G66" s="50" t="str">
        <x:v>Baris yang relevan ditampilkan</x:v>
      </x:c>
      <x:c r="H66" s="51" t="str"/>
      <x:c r="I66" s="51" t="str">
        <x:v>Not Tested</x:v>
      </x:c>
      <x:c r="J66" s="50" t="str">
        <x:v>Medium</x:v>
      </x:c>
      <x:c r="K66" s="52" t="str"/>
      <x:c r="L66" s="54"/>
      <x:c r="M66" s="52" t="str"/>
      <x:c r="N66" s="52" t="str"/>
    </x:row>
    <x:row r="67" ht="54" customHeight="1">
      <x:c r="A67" s="50" t="str">
        <x:v>TC-062</x:v>
      </x:c>
      <x:c r="B67" s="50" t="str">
        <x:v>Data Legal</x:v>
      </x:c>
      <x:c r="C67" s="50" t="str">
        <x:v>Functional</x:v>
      </x:c>
      <x:c r="D67" s="50" t="str">
        <x:v>Filter Data Legal bekerja</x:v>
      </x:c>
      <x:c r="E67" s="50" t="str">
        <x:v>Menu Data Legal terbuka</x:v>
      </x:c>
      <x:c r="F67" s="50" t="str">
        <x:v>Pilih salah satu filter</x:v>
      </x:c>
      <x:c r="G67" s="50" t="str">
        <x:v>Tabel hanya menampilkan data sesuai filter</x:v>
      </x:c>
      <x:c r="H67" s="51" t="str"/>
      <x:c r="I67" s="51" t="str">
        <x:v>Not Tested</x:v>
      </x:c>
      <x:c r="J67" s="50" t="str">
        <x:v>Medium</x:v>
      </x:c>
      <x:c r="K67" s="52" t="str"/>
      <x:c r="L67" s="54"/>
      <x:c r="M67" s="52" t="str"/>
      <x:c r="N67" s="52" t="str"/>
    </x:row>
    <x:row r="68" ht="54" customHeight="1">
      <x:c r="A68" s="50" t="str">
        <x:v>TC-063</x:v>
      </x:c>
      <x:c r="B68" s="50" t="str">
        <x:v>Data Legal</x:v>
      </x:c>
      <x:c r="C68" s="50" t="str">
        <x:v>Functional</x:v>
      </x:c>
      <x:c r="D68" s="50" t="str">
        <x:v>Reset/refresh filter Data Legal</x:v>
      </x:c>
      <x:c r="E68" s="50" t="str">
        <x:v>Filter Data Legal aktif</x:v>
      </x:c>
      <x:c r="F68" s="50" t="str">
        <x:v>Klik reset atau refresh</x:v>
      </x:c>
      <x:c r="G68" s="50" t="str">
        <x:v>Filter kembali ke default dan data dimuat ulang</x:v>
      </x:c>
      <x:c r="H68" s="51" t="str"/>
      <x:c r="I68" s="51" t="str">
        <x:v>Not Tested</x:v>
      </x:c>
      <x:c r="J68" s="50" t="str">
        <x:v>Low</x:v>
      </x:c>
      <x:c r="K68" s="52" t="str"/>
      <x:c r="L68" s="54"/>
      <x:c r="M68" s="52" t="str"/>
      <x:c r="N68" s="52" t="str"/>
    </x:row>
    <x:row r="69" ht="54" customHeight="1">
      <x:c r="A69" s="50" t="str">
        <x:v>TC-064</x:v>
      </x:c>
      <x:c r="B69" s="50" t="str">
        <x:v>Data Legal</x:v>
      </x:c>
      <x:c r="C69" s="50" t="str">
        <x:v>Functional</x:v>
      </x:c>
      <x:c r="D69" s="50" t="str">
        <x:v>Pagination Data Legal bekerja</x:v>
      </x:c>
      <x:c r="E69" s="50" t="str">
        <x:v>Jumlah data melebihi satu halaman</x:v>
      </x:c>
      <x:c r="F69" s="50" t="str">
        <x:v>Pindah ke halaman berikutnya dan sebelumnya</x:v>
      </x:c>
      <x:c r="G69" s="50" t="str">
        <x:v>Nomor halaman dan data berubah dengan benar</x:v>
      </x:c>
      <x:c r="H69" s="51" t="str"/>
      <x:c r="I69" s="51" t="str">
        <x:v>Not Tested</x:v>
      </x:c>
      <x:c r="J69" s="50" t="str">
        <x:v>Medium</x:v>
      </x:c>
      <x:c r="K69" s="52" t="str"/>
      <x:c r="L69" s="54"/>
      <x:c r="M69" s="52" t="str"/>
      <x:c r="N69" s="52" t="str"/>
    </x:row>
    <x:row r="70" ht="54" customHeight="1">
      <x:c r="A70" s="50" t="str">
        <x:v>TC-065</x:v>
      </x:c>
      <x:c r="B70" s="50" t="str">
        <x:v>Data Legal</x:v>
      </x:c>
      <x:c r="C70" s="50" t="str">
        <x:v>Functional</x:v>
      </x:c>
      <x:c r="D70" s="50" t="str">
        <x:v>Tombol Kelola membuka data yang benar</x:v>
      </x:c>
      <x:c r="E70" s="50" t="str">
        <x:v>Menu Data Legal memiliki data</x:v>
      </x:c>
      <x:c r="F70" s="50" t="str">
        <x:v>Klik Kelola pada salah satu baris</x:v>
      </x:c>
      <x:c r="G70" s="50" t="str">
        <x:v>Komponen kelola menampilkan record yang dipilih</x:v>
      </x:c>
      <x:c r="H70" s="51" t="str"/>
      <x:c r="I70" s="51" t="str">
        <x:v>Not Tested</x:v>
      </x:c>
      <x:c r="J70" s="50" t="str">
        <x:v>High</x:v>
      </x:c>
      <x:c r="K70" s="52" t="str"/>
      <x:c r="L70" s="54"/>
      <x:c r="M70" s="52" t="str"/>
      <x:c r="N70" s="52" t="str"/>
    </x:row>
    <x:row r="71" ht="54" customHeight="1">
      <x:c r="A71" s="50" t="str">
        <x:v>TC-066</x:v>
      </x:c>
      <x:c r="B71" s="50" t="str">
        <x:v>Data Legal</x:v>
      </x:c>
      <x:c r="C71" s="50" t="str">
        <x:v>Functional</x:v>
      </x:c>
      <x:c r="D71" s="50" t="str">
        <x:v>Perubahan Data Legal dapat disimpan</x:v>
      </x:c>
      <x:c r="E71" s="50" t="str">
        <x:v>Form Kelola terbuka</x:v>
      </x:c>
      <x:c r="F71" s="50" t="str">
        <x:v>Ubah field nonkritis lalu simpan</x:v>
      </x:c>
      <x:c r="G71" s="50" t="str">
        <x:v>Pesan sukses tampil dan perubahan bertahan setelah refresh</x:v>
      </x:c>
      <x:c r="H71" s="51" t="str"/>
      <x:c r="I71" s="51" t="str">
        <x:v>Not Tested</x:v>
      </x:c>
      <x:c r="J71" s="50" t="str">
        <x:v>High</x:v>
      </x:c>
      <x:c r="K71" s="52" t="str"/>
      <x:c r="L71" s="54"/>
      <x:c r="M71" s="52" t="str"/>
      <x:c r="N71" s="52" t="str"/>
    </x:row>
    <x:row r="72" ht="54" customHeight="1">
      <x:c r="A72" s="50" t="str">
        <x:v>TC-067</x:v>
      </x:c>
      <x:c r="B72" s="50" t="str">
        <x:v>Data Legal</x:v>
      </x:c>
      <x:c r="C72" s="50" t="str">
        <x:v>Validation</x:v>
      </x:c>
      <x:c r="D72" s="50" t="str">
        <x:v>Validasi input Data Legal</x:v>
      </x:c>
      <x:c r="E72" s="50" t="str">
        <x:v>Form Kelola terbuka</x:v>
      </x:c>
      <x:c r="F72" s="50" t="str">
        <x:v>Masukkan data tidak valid/kosong pada field wajib</x:v>
      </x:c>
      <x:c r="G72" s="50" t="str">
        <x:v>Data ditolak dengan pesan validasi, tanpa error 500</x:v>
      </x:c>
      <x:c r="H72" s="51" t="str"/>
      <x:c r="I72" s="51" t="str">
        <x:v>Not Tested</x:v>
      </x:c>
      <x:c r="J72" s="50" t="str">
        <x:v>High</x:v>
      </x:c>
      <x:c r="K72" s="52" t="str"/>
      <x:c r="L72" s="54"/>
      <x:c r="M72" s="52" t="str"/>
      <x:c r="N72" s="52" t="str"/>
    </x:row>
    <x:row r="73" ht="54" customHeight="1">
      <x:c r="A73" s="50" t="str">
        <x:v>TC-068</x:v>
      </x:c>
      <x:c r="B73" s="50" t="str">
        <x:v>Data Legal</x:v>
      </x:c>
      <x:c r="C73" s="50" t="str">
        <x:v>Layout</x:v>
      </x:c>
      <x:c r="D73" s="50" t="str">
        <x:v>Tabel Data Legal tidak melebihi viewport</x:v>
      </x:c>
      <x:c r="E73" s="50" t="str">
        <x:v>Menu Data Legal terbuka</x:v>
      </x:c>
      <x:c r="F73" s="50" t="str">
        <x:v>Periksa tabel pada desktop dan laptop</x:v>
      </x:c>
      <x:c r="G73" s="50" t="str">
        <x:v>Tidak terjadi scroll horizontal halaman</x:v>
      </x:c>
      <x:c r="H73" s="51" t="str"/>
      <x:c r="I73" s="51" t="str">
        <x:v>Not Tested</x:v>
      </x:c>
      <x:c r="J73" s="50" t="str">
        <x:v>Medium</x:v>
      </x:c>
      <x:c r="K73" s="52" t="str"/>
      <x:c r="L73" s="54"/>
      <x:c r="M73" s="52" t="str"/>
      <x:c r="N73" s="52" t="str"/>
    </x:row>
    <x:row r="74" ht="54" customHeight="1">
      <x:c r="A74" s="50" t="str">
        <x:v>TC-069</x:v>
      </x:c>
      <x:c r="B74" s="50" t="str">
        <x:v>Data Fisik</x:v>
      </x:c>
      <x:c r="C74" s="50" t="str">
        <x:v>Functional</x:v>
      </x:c>
      <x:c r="D74" s="50" t="str">
        <x:v>Daftar Data Fisik dapat dimuat</x:v>
      </x:c>
      <x:c r="E74" s="50" t="str">
        <x:v>Admin sudah login</x:v>
      </x:c>
      <x:c r="F74" s="50" t="str">
        <x:v>Buka menu Data Fisik</x:v>
      </x:c>
      <x:c r="G74" s="50" t="str">
        <x:v>Tabel tampil tanpa error dan data berasal dari database</x:v>
      </x:c>
      <x:c r="H74" s="51" t="str"/>
      <x:c r="I74" s="51" t="str">
        <x:v>Not Tested</x:v>
      </x:c>
      <x:c r="J74" s="50" t="str">
        <x:v>High</x:v>
      </x:c>
      <x:c r="K74" s="52" t="str"/>
      <x:c r="L74" s="54"/>
      <x:c r="M74" s="52" t="str"/>
      <x:c r="N74" s="52" t="str"/>
    </x:row>
    <x:row r="75" ht="54" customHeight="1">
      <x:c r="A75" s="50" t="str">
        <x:v>TC-070</x:v>
      </x:c>
      <x:c r="B75" s="50" t="str">
        <x:v>Data Fisik</x:v>
      </x:c>
      <x:c r="C75" s="50" t="str">
        <x:v>Functional</x:v>
      </x:c>
      <x:c r="D75" s="50" t="str">
        <x:v>Pencarian Data Fisik bekerja</x:v>
      </x:c>
      <x:c r="E75" s="50" t="str">
        <x:v>Menu Data Fisik terbuka</x:v>
      </x:c>
      <x:c r="F75" s="50" t="str">
        <x:v>Masukkan kata kunci yang diketahui</x:v>
      </x:c>
      <x:c r="G75" s="50" t="str">
        <x:v>Baris yang relevan ditampilkan</x:v>
      </x:c>
      <x:c r="H75" s="51" t="str"/>
      <x:c r="I75" s="51" t="str">
        <x:v>Not Tested</x:v>
      </x:c>
      <x:c r="J75" s="50" t="str">
        <x:v>Medium</x:v>
      </x:c>
      <x:c r="K75" s="52" t="str"/>
      <x:c r="L75" s="54"/>
      <x:c r="M75" s="52" t="str"/>
      <x:c r="N75" s="52" t="str"/>
    </x:row>
    <x:row r="76" ht="54" customHeight="1">
      <x:c r="A76" s="50" t="str">
        <x:v>TC-071</x:v>
      </x:c>
      <x:c r="B76" s="50" t="str">
        <x:v>Data Fisik</x:v>
      </x:c>
      <x:c r="C76" s="50" t="str">
        <x:v>Functional</x:v>
      </x:c>
      <x:c r="D76" s="50" t="str">
        <x:v>Filter Data Fisik bekerja</x:v>
      </x:c>
      <x:c r="E76" s="50" t="str">
        <x:v>Menu Data Fisik terbuka</x:v>
      </x:c>
      <x:c r="F76" s="50" t="str">
        <x:v>Pilih salah satu filter</x:v>
      </x:c>
      <x:c r="G76" s="50" t="str">
        <x:v>Tabel hanya menampilkan data sesuai filter</x:v>
      </x:c>
      <x:c r="H76" s="51" t="str"/>
      <x:c r="I76" s="51" t="str">
        <x:v>Not Tested</x:v>
      </x:c>
      <x:c r="J76" s="50" t="str">
        <x:v>Medium</x:v>
      </x:c>
      <x:c r="K76" s="52" t="str"/>
      <x:c r="L76" s="54"/>
      <x:c r="M76" s="52" t="str"/>
      <x:c r="N76" s="52" t="str"/>
    </x:row>
    <x:row r="77" ht="54" customHeight="1">
      <x:c r="A77" s="50" t="str">
        <x:v>TC-072</x:v>
      </x:c>
      <x:c r="B77" s="50" t="str">
        <x:v>Data Fisik</x:v>
      </x:c>
      <x:c r="C77" s="50" t="str">
        <x:v>Functional</x:v>
      </x:c>
      <x:c r="D77" s="50" t="str">
        <x:v>Reset/refresh filter Data Fisik</x:v>
      </x:c>
      <x:c r="E77" s="50" t="str">
        <x:v>Filter Data Fisik aktif</x:v>
      </x:c>
      <x:c r="F77" s="50" t="str">
        <x:v>Klik reset atau refresh</x:v>
      </x:c>
      <x:c r="G77" s="50" t="str">
        <x:v>Filter kembali ke default dan data dimuat ulang</x:v>
      </x:c>
      <x:c r="H77" s="51" t="str"/>
      <x:c r="I77" s="51" t="str">
        <x:v>Not Tested</x:v>
      </x:c>
      <x:c r="J77" s="50" t="str">
        <x:v>Low</x:v>
      </x:c>
      <x:c r="K77" s="52" t="str"/>
      <x:c r="L77" s="54"/>
      <x:c r="M77" s="52" t="str"/>
      <x:c r="N77" s="52" t="str"/>
    </x:row>
    <x:row r="78" ht="54" customHeight="1">
      <x:c r="A78" s="50" t="str">
        <x:v>TC-073</x:v>
      </x:c>
      <x:c r="B78" s="50" t="str">
        <x:v>Data Fisik</x:v>
      </x:c>
      <x:c r="C78" s="50" t="str">
        <x:v>Functional</x:v>
      </x:c>
      <x:c r="D78" s="50" t="str">
        <x:v>Pagination Data Fisik bekerja</x:v>
      </x:c>
      <x:c r="E78" s="50" t="str">
        <x:v>Jumlah data melebihi satu halaman</x:v>
      </x:c>
      <x:c r="F78" s="50" t="str">
        <x:v>Pindah ke halaman berikutnya dan sebelumnya</x:v>
      </x:c>
      <x:c r="G78" s="50" t="str">
        <x:v>Nomor halaman dan data berubah dengan benar</x:v>
      </x:c>
      <x:c r="H78" s="51" t="str"/>
      <x:c r="I78" s="51" t="str">
        <x:v>Not Tested</x:v>
      </x:c>
      <x:c r="J78" s="50" t="str">
        <x:v>Medium</x:v>
      </x:c>
      <x:c r="K78" s="52" t="str"/>
      <x:c r="L78" s="54"/>
      <x:c r="M78" s="52" t="str"/>
      <x:c r="N78" s="52" t="str"/>
    </x:row>
    <x:row r="79" ht="54" customHeight="1">
      <x:c r="A79" s="50" t="str">
        <x:v>TC-074</x:v>
      </x:c>
      <x:c r="B79" s="50" t="str">
        <x:v>Data Fisik</x:v>
      </x:c>
      <x:c r="C79" s="50" t="str">
        <x:v>Functional</x:v>
      </x:c>
      <x:c r="D79" s="50" t="str">
        <x:v>Tombol Kelola membuka data yang benar</x:v>
      </x:c>
      <x:c r="E79" s="50" t="str">
        <x:v>Menu Data Fisik memiliki data</x:v>
      </x:c>
      <x:c r="F79" s="50" t="str">
        <x:v>Klik Kelola pada salah satu baris</x:v>
      </x:c>
      <x:c r="G79" s="50" t="str">
        <x:v>Komponen kelola menampilkan record yang dipilih</x:v>
      </x:c>
      <x:c r="H79" s="51" t="str"/>
      <x:c r="I79" s="51" t="str">
        <x:v>Not Tested</x:v>
      </x:c>
      <x:c r="J79" s="50" t="str">
        <x:v>High</x:v>
      </x:c>
      <x:c r="K79" s="52" t="str"/>
      <x:c r="L79" s="54"/>
      <x:c r="M79" s="52" t="str"/>
      <x:c r="N79" s="52" t="str"/>
    </x:row>
    <x:row r="80" ht="54" customHeight="1">
      <x:c r="A80" s="50" t="str">
        <x:v>TC-075</x:v>
      </x:c>
      <x:c r="B80" s="50" t="str">
        <x:v>Data Fisik</x:v>
      </x:c>
      <x:c r="C80" s="50" t="str">
        <x:v>Functional</x:v>
      </x:c>
      <x:c r="D80" s="50" t="str">
        <x:v>Perubahan Data Fisik dapat disimpan</x:v>
      </x:c>
      <x:c r="E80" s="50" t="str">
        <x:v>Form Kelola terbuka</x:v>
      </x:c>
      <x:c r="F80" s="50" t="str">
        <x:v>Ubah field nonkritis lalu simpan</x:v>
      </x:c>
      <x:c r="G80" s="50" t="str">
        <x:v>Pesan sukses tampil dan perubahan bertahan setelah refresh</x:v>
      </x:c>
      <x:c r="H80" s="51" t="str"/>
      <x:c r="I80" s="51" t="str">
        <x:v>Not Tested</x:v>
      </x:c>
      <x:c r="J80" s="50" t="str">
        <x:v>High</x:v>
      </x:c>
      <x:c r="K80" s="52" t="str"/>
      <x:c r="L80" s="54"/>
      <x:c r="M80" s="52" t="str"/>
      <x:c r="N80" s="52" t="str"/>
    </x:row>
    <x:row r="81" ht="54" customHeight="1">
      <x:c r="A81" s="50" t="str">
        <x:v>TC-076</x:v>
      </x:c>
      <x:c r="B81" s="50" t="str">
        <x:v>Data Fisik</x:v>
      </x:c>
      <x:c r="C81" s="50" t="str">
        <x:v>Validation</x:v>
      </x:c>
      <x:c r="D81" s="50" t="str">
        <x:v>Validasi input Data Fisik</x:v>
      </x:c>
      <x:c r="E81" s="50" t="str">
        <x:v>Form Kelola terbuka</x:v>
      </x:c>
      <x:c r="F81" s="50" t="str">
        <x:v>Masukkan data tidak valid/kosong pada field wajib</x:v>
      </x:c>
      <x:c r="G81" s="50" t="str">
        <x:v>Data ditolak dengan pesan validasi, tanpa error 500</x:v>
      </x:c>
      <x:c r="H81" s="51" t="str"/>
      <x:c r="I81" s="51" t="str">
        <x:v>Not Tested</x:v>
      </x:c>
      <x:c r="J81" s="50" t="str">
        <x:v>High</x:v>
      </x:c>
      <x:c r="K81" s="52" t="str"/>
      <x:c r="L81" s="54"/>
      <x:c r="M81" s="52" t="str"/>
      <x:c r="N81" s="52" t="str"/>
    </x:row>
    <x:row r="82" ht="54" customHeight="1">
      <x:c r="A82" s="50" t="str">
        <x:v>TC-077</x:v>
      </x:c>
      <x:c r="B82" s="50" t="str">
        <x:v>Data Fisik</x:v>
      </x:c>
      <x:c r="C82" s="50" t="str">
        <x:v>Layout</x:v>
      </x:c>
      <x:c r="D82" s="50" t="str">
        <x:v>Tabel Data Fisik tidak melebihi viewport</x:v>
      </x:c>
      <x:c r="E82" s="50" t="str">
        <x:v>Menu Data Fisik terbuka</x:v>
      </x:c>
      <x:c r="F82" s="50" t="str">
        <x:v>Periksa tabel pada desktop dan laptop</x:v>
      </x:c>
      <x:c r="G82" s="50" t="str">
        <x:v>Tidak terjadi scroll horizontal halaman</x:v>
      </x:c>
      <x:c r="H82" s="51" t="str"/>
      <x:c r="I82" s="51" t="str">
        <x:v>Not Tested</x:v>
      </x:c>
      <x:c r="J82" s="50" t="str">
        <x:v>Medium</x:v>
      </x:c>
      <x:c r="K82" s="52" t="str"/>
      <x:c r="L82" s="54"/>
      <x:c r="M82" s="52" t="str"/>
      <x:c r="N82" s="52" t="str"/>
    </x:row>
    <x:row r="83" ht="54" customHeight="1">
      <x:c r="A83" s="50" t="str">
        <x:v>TC-078</x:v>
      </x:c>
      <x:c r="B83" s="50" t="str">
        <x:v>Data Administratif</x:v>
      </x:c>
      <x:c r="C83" s="50" t="str">
        <x:v>Functional</x:v>
      </x:c>
      <x:c r="D83" s="50" t="str">
        <x:v>Daftar Data Administratif dapat dimuat</x:v>
      </x:c>
      <x:c r="E83" s="50" t="str">
        <x:v>Admin sudah login</x:v>
      </x:c>
      <x:c r="F83" s="50" t="str">
        <x:v>Buka menu Data Administratif</x:v>
      </x:c>
      <x:c r="G83" s="50" t="str">
        <x:v>Tabel tampil tanpa error dan data berasal dari database</x:v>
      </x:c>
      <x:c r="H83" s="51" t="str"/>
      <x:c r="I83" s="51" t="str">
        <x:v>Not Tested</x:v>
      </x:c>
      <x:c r="J83" s="50" t="str">
        <x:v>High</x:v>
      </x:c>
      <x:c r="K83" s="52" t="str"/>
      <x:c r="L83" s="54"/>
      <x:c r="M83" s="52" t="str"/>
      <x:c r="N83" s="52" t="str"/>
    </x:row>
    <x:row r="84" ht="54" customHeight="1">
      <x:c r="A84" s="50" t="str">
        <x:v>TC-079</x:v>
      </x:c>
      <x:c r="B84" s="50" t="str">
        <x:v>Data Administratif</x:v>
      </x:c>
      <x:c r="C84" s="50" t="str">
        <x:v>Functional</x:v>
      </x:c>
      <x:c r="D84" s="50" t="str">
        <x:v>Pencarian Data Administratif bekerja</x:v>
      </x:c>
      <x:c r="E84" s="50" t="str">
        <x:v>Menu Data Administratif terbuka</x:v>
      </x:c>
      <x:c r="F84" s="50" t="str">
        <x:v>Masukkan kata kunci yang diketahui</x:v>
      </x:c>
      <x:c r="G84" s="50" t="str">
        <x:v>Baris yang relevan ditampilkan</x:v>
      </x:c>
      <x:c r="H84" s="51" t="str"/>
      <x:c r="I84" s="51" t="str">
        <x:v>Not Tested</x:v>
      </x:c>
      <x:c r="J84" s="50" t="str">
        <x:v>Medium</x:v>
      </x:c>
      <x:c r="K84" s="52" t="str"/>
      <x:c r="L84" s="54"/>
      <x:c r="M84" s="52" t="str"/>
      <x:c r="N84" s="52" t="str"/>
    </x:row>
    <x:row r="85" ht="54" customHeight="1">
      <x:c r="A85" s="50" t="str">
        <x:v>TC-080</x:v>
      </x:c>
      <x:c r="B85" s="50" t="str">
        <x:v>Data Administratif</x:v>
      </x:c>
      <x:c r="C85" s="50" t="str">
        <x:v>Functional</x:v>
      </x:c>
      <x:c r="D85" s="50" t="str">
        <x:v>Filter Data Administratif bekerja</x:v>
      </x:c>
      <x:c r="E85" s="50" t="str">
        <x:v>Menu Data Administratif terbuka</x:v>
      </x:c>
      <x:c r="F85" s="50" t="str">
        <x:v>Pilih salah satu filter</x:v>
      </x:c>
      <x:c r="G85" s="50" t="str">
        <x:v>Tabel hanya menampilkan data sesuai filter</x:v>
      </x:c>
      <x:c r="H85" s="51" t="str"/>
      <x:c r="I85" s="51" t="str">
        <x:v>Not Tested</x:v>
      </x:c>
      <x:c r="J85" s="50" t="str">
        <x:v>Medium</x:v>
      </x:c>
      <x:c r="K85" s="52" t="str"/>
      <x:c r="L85" s="54"/>
      <x:c r="M85" s="52" t="str"/>
      <x:c r="N85" s="52" t="str"/>
    </x:row>
    <x:row r="86" ht="54" customHeight="1">
      <x:c r="A86" s="50" t="str">
        <x:v>TC-081</x:v>
      </x:c>
      <x:c r="B86" s="50" t="str">
        <x:v>Data Administratif</x:v>
      </x:c>
      <x:c r="C86" s="50" t="str">
        <x:v>Functional</x:v>
      </x:c>
      <x:c r="D86" s="50" t="str">
        <x:v>Reset/refresh filter Data Administratif</x:v>
      </x:c>
      <x:c r="E86" s="50" t="str">
        <x:v>Filter Data Administratif aktif</x:v>
      </x:c>
      <x:c r="F86" s="50" t="str">
        <x:v>Klik reset atau refresh</x:v>
      </x:c>
      <x:c r="G86" s="50" t="str">
        <x:v>Filter kembali ke default dan data dimuat ulang</x:v>
      </x:c>
      <x:c r="H86" s="51" t="str"/>
      <x:c r="I86" s="51" t="str">
        <x:v>Not Tested</x:v>
      </x:c>
      <x:c r="J86" s="50" t="str">
        <x:v>Low</x:v>
      </x:c>
      <x:c r="K86" s="52" t="str"/>
      <x:c r="L86" s="54"/>
      <x:c r="M86" s="52" t="str"/>
      <x:c r="N86" s="52" t="str"/>
    </x:row>
    <x:row r="87" ht="54" customHeight="1">
      <x:c r="A87" s="50" t="str">
        <x:v>TC-082</x:v>
      </x:c>
      <x:c r="B87" s="50" t="str">
        <x:v>Data Administratif</x:v>
      </x:c>
      <x:c r="C87" s="50" t="str">
        <x:v>Functional</x:v>
      </x:c>
      <x:c r="D87" s="50" t="str">
        <x:v>Pagination Data Administratif bekerja</x:v>
      </x:c>
      <x:c r="E87" s="50" t="str">
        <x:v>Jumlah data melebihi satu halaman</x:v>
      </x:c>
      <x:c r="F87" s="50" t="str">
        <x:v>Pindah ke halaman berikutnya dan sebelumnya</x:v>
      </x:c>
      <x:c r="G87" s="50" t="str">
        <x:v>Nomor halaman dan data berubah dengan benar</x:v>
      </x:c>
      <x:c r="H87" s="51" t="str"/>
      <x:c r="I87" s="51" t="str">
        <x:v>Not Tested</x:v>
      </x:c>
      <x:c r="J87" s="50" t="str">
        <x:v>Medium</x:v>
      </x:c>
      <x:c r="K87" s="52" t="str"/>
      <x:c r="L87" s="54"/>
      <x:c r="M87" s="52" t="str"/>
      <x:c r="N87" s="52" t="str"/>
    </x:row>
    <x:row r="88" ht="54" customHeight="1">
      <x:c r="A88" s="50" t="str">
        <x:v>TC-083</x:v>
      </x:c>
      <x:c r="B88" s="50" t="str">
        <x:v>Data Administratif</x:v>
      </x:c>
      <x:c r="C88" s="50" t="str">
        <x:v>Functional</x:v>
      </x:c>
      <x:c r="D88" s="50" t="str">
        <x:v>Tombol Kelola membuka data yang benar</x:v>
      </x:c>
      <x:c r="E88" s="50" t="str">
        <x:v>Menu Data Administratif memiliki data</x:v>
      </x:c>
      <x:c r="F88" s="50" t="str">
        <x:v>Klik Kelola pada salah satu baris</x:v>
      </x:c>
      <x:c r="G88" s="50" t="str">
        <x:v>Komponen kelola menampilkan record yang dipilih</x:v>
      </x:c>
      <x:c r="H88" s="51" t="str"/>
      <x:c r="I88" s="51" t="str">
        <x:v>Not Tested</x:v>
      </x:c>
      <x:c r="J88" s="50" t="str">
        <x:v>High</x:v>
      </x:c>
      <x:c r="K88" s="52" t="str"/>
      <x:c r="L88" s="54"/>
      <x:c r="M88" s="52" t="str"/>
      <x:c r="N88" s="52" t="str"/>
    </x:row>
    <x:row r="89" ht="54" customHeight="1">
      <x:c r="A89" s="50" t="str">
        <x:v>TC-084</x:v>
      </x:c>
      <x:c r="B89" s="50" t="str">
        <x:v>Data Administratif</x:v>
      </x:c>
      <x:c r="C89" s="50" t="str">
        <x:v>Functional</x:v>
      </x:c>
      <x:c r="D89" s="50" t="str">
        <x:v>Perubahan Data Administratif dapat disimpan</x:v>
      </x:c>
      <x:c r="E89" s="50" t="str">
        <x:v>Form Kelola terbuka</x:v>
      </x:c>
      <x:c r="F89" s="50" t="str">
        <x:v>Ubah field nonkritis lalu simpan</x:v>
      </x:c>
      <x:c r="G89" s="50" t="str">
        <x:v>Pesan sukses tampil dan perubahan bertahan setelah refresh</x:v>
      </x:c>
      <x:c r="H89" s="51" t="str"/>
      <x:c r="I89" s="51" t="str">
        <x:v>Not Tested</x:v>
      </x:c>
      <x:c r="J89" s="50" t="str">
        <x:v>High</x:v>
      </x:c>
      <x:c r="K89" s="52" t="str"/>
      <x:c r="L89" s="54"/>
      <x:c r="M89" s="52" t="str"/>
      <x:c r="N89" s="52" t="str"/>
    </x:row>
    <x:row r="90" ht="54" customHeight="1">
      <x:c r="A90" s="50" t="str">
        <x:v>TC-085</x:v>
      </x:c>
      <x:c r="B90" s="50" t="str">
        <x:v>Data Administratif</x:v>
      </x:c>
      <x:c r="C90" s="50" t="str">
        <x:v>Validation</x:v>
      </x:c>
      <x:c r="D90" s="50" t="str">
        <x:v>Validasi input Data Administratif</x:v>
      </x:c>
      <x:c r="E90" s="50" t="str">
        <x:v>Form Kelola terbuka</x:v>
      </x:c>
      <x:c r="F90" s="50" t="str">
        <x:v>Masukkan data tidak valid/kosong pada field wajib</x:v>
      </x:c>
      <x:c r="G90" s="50" t="str">
        <x:v>Data ditolak dengan pesan validasi, tanpa error 500</x:v>
      </x:c>
      <x:c r="H90" s="51" t="str"/>
      <x:c r="I90" s="51" t="str">
        <x:v>Not Tested</x:v>
      </x:c>
      <x:c r="J90" s="50" t="str">
        <x:v>High</x:v>
      </x:c>
      <x:c r="K90" s="52" t="str"/>
      <x:c r="L90" s="54"/>
      <x:c r="M90" s="52" t="str"/>
      <x:c r="N90" s="52" t="str"/>
    </x:row>
    <x:row r="91" ht="54" customHeight="1">
      <x:c r="A91" s="50" t="str">
        <x:v>TC-086</x:v>
      </x:c>
      <x:c r="B91" s="50" t="str">
        <x:v>Data Administratif</x:v>
      </x:c>
      <x:c r="C91" s="50" t="str">
        <x:v>Layout</x:v>
      </x:c>
      <x:c r="D91" s="50" t="str">
        <x:v>Tabel Data Administratif tidak melebihi viewport</x:v>
      </x:c>
      <x:c r="E91" s="50" t="str">
        <x:v>Menu Data Administratif terbuka</x:v>
      </x:c>
      <x:c r="F91" s="50" t="str">
        <x:v>Periksa tabel pada desktop dan laptop</x:v>
      </x:c>
      <x:c r="G91" s="50" t="str">
        <x:v>Tidak terjadi scroll horizontal halaman</x:v>
      </x:c>
      <x:c r="H91" s="51" t="str"/>
      <x:c r="I91" s="51" t="str">
        <x:v>Not Tested</x:v>
      </x:c>
      <x:c r="J91" s="50" t="str">
        <x:v>Medium</x:v>
      </x:c>
      <x:c r="K91" s="52" t="str"/>
      <x:c r="L91" s="54"/>
      <x:c r="M91" s="52" t="str"/>
      <x:c r="N91" s="52" t="str"/>
    </x:row>
    <x:row r="92" ht="54" customHeight="1">
      <x:c r="A92" s="50" t="str">
        <x:v>TC-087</x:v>
      </x:c>
      <x:c r="B92" s="50" t="str">
        <x:v>Data Pajak</x:v>
      </x:c>
      <x:c r="C92" s="50" t="str">
        <x:v>Functional</x:v>
      </x:c>
      <x:c r="D92" s="50" t="str">
        <x:v>Daftar Data Pajak dapat dimuat</x:v>
      </x:c>
      <x:c r="E92" s="50" t="str">
        <x:v>Admin sudah login</x:v>
      </x:c>
      <x:c r="F92" s="50" t="str">
        <x:v>Buka menu Data Pajak</x:v>
      </x:c>
      <x:c r="G92" s="50" t="str">
        <x:v>Tabel tampil tanpa error dan data berasal dari database</x:v>
      </x:c>
      <x:c r="H92" s="51" t="str"/>
      <x:c r="I92" s="51" t="str">
        <x:v>Not Tested</x:v>
      </x:c>
      <x:c r="J92" s="50" t="str">
        <x:v>High</x:v>
      </x:c>
      <x:c r="K92" s="52" t="str"/>
      <x:c r="L92" s="54"/>
      <x:c r="M92" s="52" t="str"/>
      <x:c r="N92" s="52" t="str"/>
    </x:row>
    <x:row r="93" ht="54" customHeight="1">
      <x:c r="A93" s="50" t="str">
        <x:v>TC-088</x:v>
      </x:c>
      <x:c r="B93" s="50" t="str">
        <x:v>Data Pajak</x:v>
      </x:c>
      <x:c r="C93" s="50" t="str">
        <x:v>Functional</x:v>
      </x:c>
      <x:c r="D93" s="50" t="str">
        <x:v>Pencarian Data Pajak bekerja</x:v>
      </x:c>
      <x:c r="E93" s="50" t="str">
        <x:v>Menu Data Pajak terbuka</x:v>
      </x:c>
      <x:c r="F93" s="50" t="str">
        <x:v>Masukkan kata kunci yang diketahui</x:v>
      </x:c>
      <x:c r="G93" s="50" t="str">
        <x:v>Baris yang relevan ditampilkan</x:v>
      </x:c>
      <x:c r="H93" s="51" t="str"/>
      <x:c r="I93" s="51" t="str">
        <x:v>Not Tested</x:v>
      </x:c>
      <x:c r="J93" s="50" t="str">
        <x:v>Medium</x:v>
      </x:c>
      <x:c r="K93" s="52" t="str"/>
      <x:c r="L93" s="54"/>
      <x:c r="M93" s="52" t="str"/>
      <x:c r="N93" s="52" t="str"/>
    </x:row>
    <x:row r="94" ht="54" customHeight="1">
      <x:c r="A94" s="50" t="str">
        <x:v>TC-089</x:v>
      </x:c>
      <x:c r="B94" s="50" t="str">
        <x:v>Data Pajak</x:v>
      </x:c>
      <x:c r="C94" s="50" t="str">
        <x:v>Functional</x:v>
      </x:c>
      <x:c r="D94" s="50" t="str">
        <x:v>Filter Data Pajak bekerja</x:v>
      </x:c>
      <x:c r="E94" s="50" t="str">
        <x:v>Menu Data Pajak terbuka</x:v>
      </x:c>
      <x:c r="F94" s="50" t="str">
        <x:v>Pilih salah satu filter</x:v>
      </x:c>
      <x:c r="G94" s="50" t="str">
        <x:v>Tabel hanya menampilkan data sesuai filter</x:v>
      </x:c>
      <x:c r="H94" s="51" t="str"/>
      <x:c r="I94" s="51" t="str">
        <x:v>Not Tested</x:v>
      </x:c>
      <x:c r="J94" s="50" t="str">
        <x:v>Medium</x:v>
      </x:c>
      <x:c r="K94" s="52" t="str"/>
      <x:c r="L94" s="54"/>
      <x:c r="M94" s="52" t="str"/>
      <x:c r="N94" s="52" t="str"/>
    </x:row>
    <x:row r="95" ht="54" customHeight="1">
      <x:c r="A95" s="50" t="str">
        <x:v>TC-090</x:v>
      </x:c>
      <x:c r="B95" s="50" t="str">
        <x:v>Data Pajak</x:v>
      </x:c>
      <x:c r="C95" s="50" t="str">
        <x:v>Functional</x:v>
      </x:c>
      <x:c r="D95" s="50" t="str">
        <x:v>Reset/refresh filter Data Pajak</x:v>
      </x:c>
      <x:c r="E95" s="50" t="str">
        <x:v>Filter Data Pajak aktif</x:v>
      </x:c>
      <x:c r="F95" s="50" t="str">
        <x:v>Klik reset atau refresh</x:v>
      </x:c>
      <x:c r="G95" s="50" t="str">
        <x:v>Filter kembali ke default dan data dimuat ulang</x:v>
      </x:c>
      <x:c r="H95" s="51" t="str"/>
      <x:c r="I95" s="51" t="str">
        <x:v>Not Tested</x:v>
      </x:c>
      <x:c r="J95" s="50" t="str">
        <x:v>Low</x:v>
      </x:c>
      <x:c r="K95" s="52" t="str"/>
      <x:c r="L95" s="54"/>
      <x:c r="M95" s="52" t="str"/>
      <x:c r="N95" s="52" t="str"/>
    </x:row>
    <x:row r="96" ht="54" customHeight="1">
      <x:c r="A96" s="50" t="str">
        <x:v>TC-091</x:v>
      </x:c>
      <x:c r="B96" s="50" t="str">
        <x:v>Data Pajak</x:v>
      </x:c>
      <x:c r="C96" s="50" t="str">
        <x:v>Functional</x:v>
      </x:c>
      <x:c r="D96" s="50" t="str">
        <x:v>Pagination Data Pajak bekerja</x:v>
      </x:c>
      <x:c r="E96" s="50" t="str">
        <x:v>Jumlah data melebihi satu halaman</x:v>
      </x:c>
      <x:c r="F96" s="50" t="str">
        <x:v>Pindah ke halaman berikutnya dan sebelumnya</x:v>
      </x:c>
      <x:c r="G96" s="50" t="str">
        <x:v>Nomor halaman dan data berubah dengan benar</x:v>
      </x:c>
      <x:c r="H96" s="51" t="str"/>
      <x:c r="I96" s="51" t="str">
        <x:v>Not Tested</x:v>
      </x:c>
      <x:c r="J96" s="50" t="str">
        <x:v>Medium</x:v>
      </x:c>
      <x:c r="K96" s="52" t="str"/>
      <x:c r="L96" s="54"/>
      <x:c r="M96" s="52" t="str"/>
      <x:c r="N96" s="52" t="str"/>
    </x:row>
    <x:row r="97" ht="54" customHeight="1">
      <x:c r="A97" s="50" t="str">
        <x:v>TC-092</x:v>
      </x:c>
      <x:c r="B97" s="50" t="str">
        <x:v>Data Pajak</x:v>
      </x:c>
      <x:c r="C97" s="50" t="str">
        <x:v>Functional</x:v>
      </x:c>
      <x:c r="D97" s="50" t="str">
        <x:v>Tombol Kelola membuka data yang benar</x:v>
      </x:c>
      <x:c r="E97" s="50" t="str">
        <x:v>Menu Data Pajak memiliki data</x:v>
      </x:c>
      <x:c r="F97" s="50" t="str">
        <x:v>Klik Kelola pada salah satu baris</x:v>
      </x:c>
      <x:c r="G97" s="50" t="str">
        <x:v>Komponen kelola menampilkan record yang dipilih</x:v>
      </x:c>
      <x:c r="H97" s="51" t="str"/>
      <x:c r="I97" s="51" t="str">
        <x:v>Not Tested</x:v>
      </x:c>
      <x:c r="J97" s="50" t="str">
        <x:v>High</x:v>
      </x:c>
      <x:c r="K97" s="52" t="str"/>
      <x:c r="L97" s="54"/>
      <x:c r="M97" s="52" t="str"/>
      <x:c r="N97" s="52" t="str"/>
    </x:row>
    <x:row r="98" ht="54" customHeight="1">
      <x:c r="A98" s="50" t="str">
        <x:v>TC-093</x:v>
      </x:c>
      <x:c r="B98" s="50" t="str">
        <x:v>Data Pajak</x:v>
      </x:c>
      <x:c r="C98" s="50" t="str">
        <x:v>Functional</x:v>
      </x:c>
      <x:c r="D98" s="50" t="str">
        <x:v>Perubahan Data Pajak dapat disimpan</x:v>
      </x:c>
      <x:c r="E98" s="50" t="str">
        <x:v>Form Kelola terbuka</x:v>
      </x:c>
      <x:c r="F98" s="50" t="str">
        <x:v>Ubah field nonkritis lalu simpan</x:v>
      </x:c>
      <x:c r="G98" s="50" t="str">
        <x:v>Pesan sukses tampil dan perubahan bertahan setelah refresh</x:v>
      </x:c>
      <x:c r="H98" s="51" t="str"/>
      <x:c r="I98" s="51" t="str">
        <x:v>Not Tested</x:v>
      </x:c>
      <x:c r="J98" s="50" t="str">
        <x:v>High</x:v>
      </x:c>
      <x:c r="K98" s="52" t="str"/>
      <x:c r="L98" s="54"/>
      <x:c r="M98" s="52" t="str"/>
      <x:c r="N98" s="52" t="str"/>
    </x:row>
    <x:row r="99" ht="54" customHeight="1">
      <x:c r="A99" s="50" t="str">
        <x:v>TC-094</x:v>
      </x:c>
      <x:c r="B99" s="50" t="str">
        <x:v>Data Pajak</x:v>
      </x:c>
      <x:c r="C99" s="50" t="str">
        <x:v>Validation</x:v>
      </x:c>
      <x:c r="D99" s="50" t="str">
        <x:v>Validasi input Data Pajak</x:v>
      </x:c>
      <x:c r="E99" s="50" t="str">
        <x:v>Form Kelola terbuka</x:v>
      </x:c>
      <x:c r="F99" s="50" t="str">
        <x:v>Masukkan data tidak valid/kosong pada field wajib</x:v>
      </x:c>
      <x:c r="G99" s="50" t="str">
        <x:v>Data ditolak dengan pesan validasi, tanpa error 500</x:v>
      </x:c>
      <x:c r="H99" s="51" t="str"/>
      <x:c r="I99" s="51" t="str">
        <x:v>Not Tested</x:v>
      </x:c>
      <x:c r="J99" s="50" t="str">
        <x:v>High</x:v>
      </x:c>
      <x:c r="K99" s="52" t="str"/>
      <x:c r="L99" s="54"/>
      <x:c r="M99" s="52" t="str"/>
      <x:c r="N99" s="52" t="str"/>
    </x:row>
    <x:row r="100" ht="54" customHeight="1">
      <x:c r="A100" s="50" t="str">
        <x:v>TC-095</x:v>
      </x:c>
      <x:c r="B100" s="50" t="str">
        <x:v>Data Pajak</x:v>
      </x:c>
      <x:c r="C100" s="50" t="str">
        <x:v>Layout</x:v>
      </x:c>
      <x:c r="D100" s="50" t="str">
        <x:v>Tabel Data Pajak tidak melebihi viewport</x:v>
      </x:c>
      <x:c r="E100" s="50" t="str">
        <x:v>Menu Data Pajak terbuka</x:v>
      </x:c>
      <x:c r="F100" s="50" t="str">
        <x:v>Periksa tabel pada desktop dan laptop</x:v>
      </x:c>
      <x:c r="G100" s="50" t="str">
        <x:v>Tidak terjadi scroll horizontal halaman</x:v>
      </x:c>
      <x:c r="H100" s="51" t="str"/>
      <x:c r="I100" s="51" t="str">
        <x:v>Not Tested</x:v>
      </x:c>
      <x:c r="J100" s="50" t="str">
        <x:v>Medium</x:v>
      </x:c>
      <x:c r="K100" s="52" t="str"/>
      <x:c r="L100" s="54"/>
      <x:c r="M100" s="52" t="str"/>
      <x:c r="N100" s="52" t="str"/>
    </x:row>
    <x:row r="101" ht="54" customHeight="1">
      <x:c r="A101" s="50" t="str">
        <x:v>TC-096</x:v>
      </x:c>
      <x:c r="B101" s="50" t="str">
        <x:v>Data KIB</x:v>
      </x:c>
      <x:c r="C101" s="50" t="str">
        <x:v>Functional</x:v>
      </x:c>
      <x:c r="D101" s="50" t="str">
        <x:v>Daftar Data KIB dapat dimuat</x:v>
      </x:c>
      <x:c r="E101" s="50" t="str">
        <x:v>Admin sudah login</x:v>
      </x:c>
      <x:c r="F101" s="50" t="str">
        <x:v>Buka menu Data KIB</x:v>
      </x:c>
      <x:c r="G101" s="50" t="str">
        <x:v>Tabel tampil tanpa error dan data berasal dari database</x:v>
      </x:c>
      <x:c r="H101" s="51" t="str"/>
      <x:c r="I101" s="51" t="str">
        <x:v>Not Tested</x:v>
      </x:c>
      <x:c r="J101" s="50" t="str">
        <x:v>High</x:v>
      </x:c>
      <x:c r="K101" s="52" t="str"/>
      <x:c r="L101" s="54"/>
      <x:c r="M101" s="52" t="str"/>
      <x:c r="N101" s="52" t="str"/>
    </x:row>
    <x:row r="102" ht="54" customHeight="1">
      <x:c r="A102" s="50" t="str">
        <x:v>TC-097</x:v>
      </x:c>
      <x:c r="B102" s="50" t="str">
        <x:v>Data KIB</x:v>
      </x:c>
      <x:c r="C102" s="50" t="str">
        <x:v>Functional</x:v>
      </x:c>
      <x:c r="D102" s="50" t="str">
        <x:v>Pencarian Data KIB bekerja</x:v>
      </x:c>
      <x:c r="E102" s="50" t="str">
        <x:v>Menu Data KIB terbuka</x:v>
      </x:c>
      <x:c r="F102" s="50" t="str">
        <x:v>Masukkan kata kunci yang diketahui</x:v>
      </x:c>
      <x:c r="G102" s="50" t="str">
        <x:v>Baris yang relevan ditampilkan</x:v>
      </x:c>
      <x:c r="H102" s="51" t="str"/>
      <x:c r="I102" s="51" t="str">
        <x:v>Not Tested</x:v>
      </x:c>
      <x:c r="J102" s="50" t="str">
        <x:v>Medium</x:v>
      </x:c>
      <x:c r="K102" s="52" t="str"/>
      <x:c r="L102" s="54"/>
      <x:c r="M102" s="52" t="str"/>
      <x:c r="N102" s="52" t="str"/>
    </x:row>
    <x:row r="103" ht="54" customHeight="1">
      <x:c r="A103" s="50" t="str">
        <x:v>TC-098</x:v>
      </x:c>
      <x:c r="B103" s="50" t="str">
        <x:v>Data KIB</x:v>
      </x:c>
      <x:c r="C103" s="50" t="str">
        <x:v>Functional</x:v>
      </x:c>
      <x:c r="D103" s="50" t="str">
        <x:v>Filter Data KIB bekerja</x:v>
      </x:c>
      <x:c r="E103" s="50" t="str">
        <x:v>Menu Data KIB terbuka</x:v>
      </x:c>
      <x:c r="F103" s="50" t="str">
        <x:v>Pilih salah satu filter</x:v>
      </x:c>
      <x:c r="G103" s="50" t="str">
        <x:v>Tabel hanya menampilkan data sesuai filter</x:v>
      </x:c>
      <x:c r="H103" s="51" t="str"/>
      <x:c r="I103" s="51" t="str">
        <x:v>Not Tested</x:v>
      </x:c>
      <x:c r="J103" s="50" t="str">
        <x:v>Medium</x:v>
      </x:c>
      <x:c r="K103" s="52" t="str"/>
      <x:c r="L103" s="54"/>
      <x:c r="M103" s="52" t="str"/>
      <x:c r="N103" s="52" t="str"/>
    </x:row>
    <x:row r="104" ht="54" customHeight="1">
      <x:c r="A104" s="50" t="str">
        <x:v>TC-099</x:v>
      </x:c>
      <x:c r="B104" s="50" t="str">
        <x:v>Data KIB</x:v>
      </x:c>
      <x:c r="C104" s="50" t="str">
        <x:v>Functional</x:v>
      </x:c>
      <x:c r="D104" s="50" t="str">
        <x:v>Reset/refresh filter Data KIB</x:v>
      </x:c>
      <x:c r="E104" s="50" t="str">
        <x:v>Filter Data KIB aktif</x:v>
      </x:c>
      <x:c r="F104" s="50" t="str">
        <x:v>Klik reset atau refresh</x:v>
      </x:c>
      <x:c r="G104" s="50" t="str">
        <x:v>Filter kembali ke default dan data dimuat ulang</x:v>
      </x:c>
      <x:c r="H104" s="51" t="str"/>
      <x:c r="I104" s="51" t="str">
        <x:v>Not Tested</x:v>
      </x:c>
      <x:c r="J104" s="50" t="str">
        <x:v>Low</x:v>
      </x:c>
      <x:c r="K104" s="52" t="str"/>
      <x:c r="L104" s="54"/>
      <x:c r="M104" s="52" t="str"/>
      <x:c r="N104" s="52" t="str"/>
    </x:row>
    <x:row r="105" ht="54" customHeight="1">
      <x:c r="A105" s="50" t="str">
        <x:v>TC-100</x:v>
      </x:c>
      <x:c r="B105" s="50" t="str">
        <x:v>Data KIB</x:v>
      </x:c>
      <x:c r="C105" s="50" t="str">
        <x:v>Functional</x:v>
      </x:c>
      <x:c r="D105" s="50" t="str">
        <x:v>Pagination Data KIB bekerja</x:v>
      </x:c>
      <x:c r="E105" s="50" t="str">
        <x:v>Jumlah data melebihi satu halaman</x:v>
      </x:c>
      <x:c r="F105" s="50" t="str">
        <x:v>Pindah ke halaman berikutnya dan sebelumnya</x:v>
      </x:c>
      <x:c r="G105" s="50" t="str">
        <x:v>Nomor halaman dan data berubah dengan benar</x:v>
      </x:c>
      <x:c r="H105" s="51" t="str"/>
      <x:c r="I105" s="51" t="str">
        <x:v>Not Tested</x:v>
      </x:c>
      <x:c r="J105" s="50" t="str">
        <x:v>Medium</x:v>
      </x:c>
      <x:c r="K105" s="52" t="str"/>
      <x:c r="L105" s="54"/>
      <x:c r="M105" s="52" t="str"/>
      <x:c r="N105" s="52" t="str"/>
    </x:row>
    <x:row r="106" ht="54" customHeight="1">
      <x:c r="A106" s="50" t="str">
        <x:v>TC-101</x:v>
      </x:c>
      <x:c r="B106" s="50" t="str">
        <x:v>Data KIB</x:v>
      </x:c>
      <x:c r="C106" s="50" t="str">
        <x:v>Functional</x:v>
      </x:c>
      <x:c r="D106" s="50" t="str">
        <x:v>Tombol Kelola membuka data yang benar</x:v>
      </x:c>
      <x:c r="E106" s="50" t="str">
        <x:v>Menu Data KIB memiliki data</x:v>
      </x:c>
      <x:c r="F106" s="50" t="str">
        <x:v>Klik Kelola pada salah satu baris</x:v>
      </x:c>
      <x:c r="G106" s="50" t="str">
        <x:v>Komponen kelola menampilkan record yang dipilih</x:v>
      </x:c>
      <x:c r="H106" s="51" t="str"/>
      <x:c r="I106" s="51" t="str">
        <x:v>Not Tested</x:v>
      </x:c>
      <x:c r="J106" s="50" t="str">
        <x:v>High</x:v>
      </x:c>
      <x:c r="K106" s="52" t="str"/>
      <x:c r="L106" s="54"/>
      <x:c r="M106" s="52" t="str"/>
      <x:c r="N106" s="52" t="str"/>
    </x:row>
    <x:row r="107" ht="54" customHeight="1">
      <x:c r="A107" s="50" t="str">
        <x:v>TC-102</x:v>
      </x:c>
      <x:c r="B107" s="50" t="str">
        <x:v>Data KIB</x:v>
      </x:c>
      <x:c r="C107" s="50" t="str">
        <x:v>Functional</x:v>
      </x:c>
      <x:c r="D107" s="50" t="str">
        <x:v>Perubahan Data KIB dapat disimpan</x:v>
      </x:c>
      <x:c r="E107" s="50" t="str">
        <x:v>Form Kelola terbuka</x:v>
      </x:c>
      <x:c r="F107" s="50" t="str">
        <x:v>Ubah field nonkritis lalu simpan</x:v>
      </x:c>
      <x:c r="G107" s="50" t="str">
        <x:v>Pesan sukses tampil dan perubahan bertahan setelah refresh</x:v>
      </x:c>
      <x:c r="H107" s="51" t="str"/>
      <x:c r="I107" s="51" t="str">
        <x:v>Not Tested</x:v>
      </x:c>
      <x:c r="J107" s="50" t="str">
        <x:v>High</x:v>
      </x:c>
      <x:c r="K107" s="52" t="str"/>
      <x:c r="L107" s="54"/>
      <x:c r="M107" s="52" t="str"/>
      <x:c r="N107" s="52" t="str"/>
    </x:row>
    <x:row r="108" ht="54" customHeight="1">
      <x:c r="A108" s="50" t="str">
        <x:v>TC-103</x:v>
      </x:c>
      <x:c r="B108" s="50" t="str">
        <x:v>Data KIB</x:v>
      </x:c>
      <x:c r="C108" s="50" t="str">
        <x:v>Validation</x:v>
      </x:c>
      <x:c r="D108" s="50" t="str">
        <x:v>Validasi input Data KIB</x:v>
      </x:c>
      <x:c r="E108" s="50" t="str">
        <x:v>Form Kelola terbuka</x:v>
      </x:c>
      <x:c r="F108" s="50" t="str">
        <x:v>Masukkan data tidak valid/kosong pada field wajib</x:v>
      </x:c>
      <x:c r="G108" s="50" t="str">
        <x:v>Data ditolak dengan pesan validasi, tanpa error 500</x:v>
      </x:c>
      <x:c r="H108" s="51" t="str"/>
      <x:c r="I108" s="51" t="str">
        <x:v>Not Tested</x:v>
      </x:c>
      <x:c r="J108" s="50" t="str">
        <x:v>High</x:v>
      </x:c>
      <x:c r="K108" s="52" t="str"/>
      <x:c r="L108" s="54"/>
      <x:c r="M108" s="52" t="str"/>
      <x:c r="N108" s="52" t="str"/>
    </x:row>
    <x:row r="109" ht="54" customHeight="1">
      <x:c r="A109" s="50" t="str">
        <x:v>TC-104</x:v>
      </x:c>
      <x:c r="B109" s="50" t="str">
        <x:v>Data KIB</x:v>
      </x:c>
      <x:c r="C109" s="50" t="str">
        <x:v>Layout</x:v>
      </x:c>
      <x:c r="D109" s="50" t="str">
        <x:v>Tabel Data KIB tidak melebihi viewport</x:v>
      </x:c>
      <x:c r="E109" s="50" t="str">
        <x:v>Menu Data KIB terbuka</x:v>
      </x:c>
      <x:c r="F109" s="50" t="str">
        <x:v>Periksa tabel pada desktop dan laptop</x:v>
      </x:c>
      <x:c r="G109" s="50" t="str">
        <x:v>Tidak terjadi scroll horizontal halaman</x:v>
      </x:c>
      <x:c r="H109" s="51" t="str"/>
      <x:c r="I109" s="51" t="str">
        <x:v>Not Tested</x:v>
      </x:c>
      <x:c r="J109" s="50" t="str">
        <x:v>Medium</x:v>
      </x:c>
      <x:c r="K109" s="52" t="str"/>
      <x:c r="L109" s="54"/>
      <x:c r="M109" s="52" t="str"/>
      <x:c r="N109" s="52" t="str"/>
    </x:row>
    <x:row r="110" ht="54" customHeight="1">
      <x:c r="A110" s="50" t="str">
        <x:v>TC-105</x:v>
      </x:c>
      <x:c r="B110" s="50" t="str">
        <x:v>Pusat Data</x:v>
      </x:c>
      <x:c r="C110" s="50" t="str">
        <x:v>Functional</x:v>
      </x:c>
      <x:c r="D110" s="50" t="str">
        <x:v>Daftar Pusat Data dapat dimuat</x:v>
      </x:c>
      <x:c r="E110" s="50" t="str">
        <x:v>Admin sudah login</x:v>
      </x:c>
      <x:c r="F110" s="50" t="str">
        <x:v>Buka menu Pusat Data</x:v>
      </x:c>
      <x:c r="G110" s="50" t="str">
        <x:v>Tabel tampil tanpa error dan data berasal dari database</x:v>
      </x:c>
      <x:c r="H110" s="51" t="str"/>
      <x:c r="I110" s="51" t="str">
        <x:v>Not Tested</x:v>
      </x:c>
      <x:c r="J110" s="50" t="str">
        <x:v>High</x:v>
      </x:c>
      <x:c r="K110" s="52" t="str"/>
      <x:c r="L110" s="54"/>
      <x:c r="M110" s="52" t="str"/>
      <x:c r="N110" s="52" t="str"/>
    </x:row>
    <x:row r="111" ht="54" customHeight="1">
      <x:c r="A111" s="50" t="str">
        <x:v>TC-106</x:v>
      </x:c>
      <x:c r="B111" s="50" t="str">
        <x:v>Pusat Data</x:v>
      </x:c>
      <x:c r="C111" s="50" t="str">
        <x:v>Functional</x:v>
      </x:c>
      <x:c r="D111" s="50" t="str">
        <x:v>Pencarian Pusat Data bekerja</x:v>
      </x:c>
      <x:c r="E111" s="50" t="str">
        <x:v>Menu Pusat Data terbuka</x:v>
      </x:c>
      <x:c r="F111" s="50" t="str">
        <x:v>Masukkan kata kunci yang diketahui</x:v>
      </x:c>
      <x:c r="G111" s="50" t="str">
        <x:v>Baris yang relevan ditampilkan</x:v>
      </x:c>
      <x:c r="H111" s="51" t="str"/>
      <x:c r="I111" s="51" t="str">
        <x:v>Not Tested</x:v>
      </x:c>
      <x:c r="J111" s="50" t="str">
        <x:v>Medium</x:v>
      </x:c>
      <x:c r="K111" s="52" t="str"/>
      <x:c r="L111" s="54"/>
      <x:c r="M111" s="52" t="str"/>
      <x:c r="N111" s="52" t="str"/>
    </x:row>
    <x:row r="112" ht="54" customHeight="1">
      <x:c r="A112" s="50" t="str">
        <x:v>TC-107</x:v>
      </x:c>
      <x:c r="B112" s="50" t="str">
        <x:v>Pusat Data</x:v>
      </x:c>
      <x:c r="C112" s="50" t="str">
        <x:v>Functional</x:v>
      </x:c>
      <x:c r="D112" s="50" t="str">
        <x:v>Filter Pusat Data bekerja</x:v>
      </x:c>
      <x:c r="E112" s="50" t="str">
        <x:v>Menu Pusat Data terbuka</x:v>
      </x:c>
      <x:c r="F112" s="50" t="str">
        <x:v>Pilih salah satu filter</x:v>
      </x:c>
      <x:c r="G112" s="50" t="str">
        <x:v>Tabel hanya menampilkan data sesuai filter</x:v>
      </x:c>
      <x:c r="H112" s="51" t="str"/>
      <x:c r="I112" s="51" t="str">
        <x:v>Not Tested</x:v>
      </x:c>
      <x:c r="J112" s="50" t="str">
        <x:v>Medium</x:v>
      </x:c>
      <x:c r="K112" s="52" t="str"/>
      <x:c r="L112" s="54"/>
      <x:c r="M112" s="52" t="str"/>
      <x:c r="N112" s="52" t="str"/>
    </x:row>
    <x:row r="113" ht="54" customHeight="1">
      <x:c r="A113" s="50" t="str">
        <x:v>TC-108</x:v>
      </x:c>
      <x:c r="B113" s="50" t="str">
        <x:v>Pusat Data</x:v>
      </x:c>
      <x:c r="C113" s="50" t="str">
        <x:v>Functional</x:v>
      </x:c>
      <x:c r="D113" s="50" t="str">
        <x:v>Reset/refresh filter Pusat Data</x:v>
      </x:c>
      <x:c r="E113" s="50" t="str">
        <x:v>Filter Pusat Data aktif</x:v>
      </x:c>
      <x:c r="F113" s="50" t="str">
        <x:v>Klik reset atau refresh</x:v>
      </x:c>
      <x:c r="G113" s="50" t="str">
        <x:v>Filter kembali ke default dan data dimuat ulang</x:v>
      </x:c>
      <x:c r="H113" s="51" t="str"/>
      <x:c r="I113" s="51" t="str">
        <x:v>Not Tested</x:v>
      </x:c>
      <x:c r="J113" s="50" t="str">
        <x:v>Low</x:v>
      </x:c>
      <x:c r="K113" s="52" t="str"/>
      <x:c r="L113" s="54"/>
      <x:c r="M113" s="52" t="str"/>
      <x:c r="N113" s="52" t="str"/>
    </x:row>
    <x:row r="114" ht="54" customHeight="1">
      <x:c r="A114" s="50" t="str">
        <x:v>TC-109</x:v>
      </x:c>
      <x:c r="B114" s="50" t="str">
        <x:v>Pusat Data</x:v>
      </x:c>
      <x:c r="C114" s="50" t="str">
        <x:v>Functional</x:v>
      </x:c>
      <x:c r="D114" s="50" t="str">
        <x:v>Pagination Pusat Data bekerja</x:v>
      </x:c>
      <x:c r="E114" s="50" t="str">
        <x:v>Jumlah data melebihi satu halaman</x:v>
      </x:c>
      <x:c r="F114" s="50" t="str">
        <x:v>Pindah ke halaman berikutnya dan sebelumnya</x:v>
      </x:c>
      <x:c r="G114" s="50" t="str">
        <x:v>Nomor halaman dan data berubah dengan benar</x:v>
      </x:c>
      <x:c r="H114" s="51" t="str"/>
      <x:c r="I114" s="51" t="str">
        <x:v>Not Tested</x:v>
      </x:c>
      <x:c r="J114" s="50" t="str">
        <x:v>Medium</x:v>
      </x:c>
      <x:c r="K114" s="52" t="str"/>
      <x:c r="L114" s="54"/>
      <x:c r="M114" s="52" t="str"/>
      <x:c r="N114" s="52" t="str"/>
    </x:row>
    <x:row r="115" ht="54" customHeight="1">
      <x:c r="A115" s="50" t="str">
        <x:v>TC-110</x:v>
      </x:c>
      <x:c r="B115" s="50" t="str">
        <x:v>Pusat Data</x:v>
      </x:c>
      <x:c r="C115" s="50" t="str">
        <x:v>Functional</x:v>
      </x:c>
      <x:c r="D115" s="50" t="str">
        <x:v>Tombol Kelola membuka data yang benar</x:v>
      </x:c>
      <x:c r="E115" s="50" t="str">
        <x:v>Menu Pusat Data memiliki data</x:v>
      </x:c>
      <x:c r="F115" s="50" t="str">
        <x:v>Klik Kelola pada salah satu baris</x:v>
      </x:c>
      <x:c r="G115" s="50" t="str">
        <x:v>Komponen kelola menampilkan record yang dipilih</x:v>
      </x:c>
      <x:c r="H115" s="51" t="str"/>
      <x:c r="I115" s="51" t="str">
        <x:v>Not Tested</x:v>
      </x:c>
      <x:c r="J115" s="50" t="str">
        <x:v>High</x:v>
      </x:c>
      <x:c r="K115" s="52" t="str"/>
      <x:c r="L115" s="54"/>
      <x:c r="M115" s="52" t="str"/>
      <x:c r="N115" s="52" t="str"/>
    </x:row>
    <x:row r="116" ht="54" customHeight="1">
      <x:c r="A116" s="50" t="str">
        <x:v>TC-111</x:v>
      </x:c>
      <x:c r="B116" s="50" t="str">
        <x:v>Pusat Data</x:v>
      </x:c>
      <x:c r="C116" s="50" t="str">
        <x:v>Functional</x:v>
      </x:c>
      <x:c r="D116" s="50" t="str">
        <x:v>Perubahan Pusat Data dapat disimpan</x:v>
      </x:c>
      <x:c r="E116" s="50" t="str">
        <x:v>Form Kelola terbuka</x:v>
      </x:c>
      <x:c r="F116" s="50" t="str">
        <x:v>Ubah field nonkritis lalu simpan</x:v>
      </x:c>
      <x:c r="G116" s="50" t="str">
        <x:v>Pesan sukses tampil dan perubahan bertahan setelah refresh</x:v>
      </x:c>
      <x:c r="H116" s="51" t="str"/>
      <x:c r="I116" s="51" t="str">
        <x:v>Not Tested</x:v>
      </x:c>
      <x:c r="J116" s="50" t="str">
        <x:v>High</x:v>
      </x:c>
      <x:c r="K116" s="52" t="str"/>
      <x:c r="L116" s="54"/>
      <x:c r="M116" s="52" t="str"/>
      <x:c r="N116" s="52" t="str"/>
    </x:row>
    <x:row r="117" ht="54" customHeight="1">
      <x:c r="A117" s="50" t="str">
        <x:v>TC-112</x:v>
      </x:c>
      <x:c r="B117" s="50" t="str">
        <x:v>Pusat Data</x:v>
      </x:c>
      <x:c r="C117" s="50" t="str">
        <x:v>Validation</x:v>
      </x:c>
      <x:c r="D117" s="50" t="str">
        <x:v>Validasi input Pusat Data</x:v>
      </x:c>
      <x:c r="E117" s="50" t="str">
        <x:v>Form Kelola terbuka</x:v>
      </x:c>
      <x:c r="F117" s="50" t="str">
        <x:v>Masukkan data tidak valid/kosong pada field wajib</x:v>
      </x:c>
      <x:c r="G117" s="50" t="str">
        <x:v>Data ditolak dengan pesan validasi, tanpa error 500</x:v>
      </x:c>
      <x:c r="H117" s="51" t="str"/>
      <x:c r="I117" s="51" t="str">
        <x:v>Not Tested</x:v>
      </x:c>
      <x:c r="J117" s="50" t="str">
        <x:v>High</x:v>
      </x:c>
      <x:c r="K117" s="52" t="str"/>
      <x:c r="L117" s="54"/>
      <x:c r="M117" s="52" t="str"/>
      <x:c r="N117" s="52" t="str"/>
    </x:row>
    <x:row r="118" ht="54" customHeight="1">
      <x:c r="A118" s="50" t="str">
        <x:v>TC-113</x:v>
      </x:c>
      <x:c r="B118" s="50" t="str">
        <x:v>Pusat Data</x:v>
      </x:c>
      <x:c r="C118" s="50" t="str">
        <x:v>Layout</x:v>
      </x:c>
      <x:c r="D118" s="50" t="str">
        <x:v>Tabel Pusat Data tidak melebihi viewport</x:v>
      </x:c>
      <x:c r="E118" s="50" t="str">
        <x:v>Menu Pusat Data terbuka</x:v>
      </x:c>
      <x:c r="F118" s="50" t="str">
        <x:v>Periksa tabel pada desktop dan laptop</x:v>
      </x:c>
      <x:c r="G118" s="50" t="str">
        <x:v>Tidak terjadi scroll horizontal halaman</x:v>
      </x:c>
      <x:c r="H118" s="51" t="str"/>
      <x:c r="I118" s="51" t="str">
        <x:v>Not Tested</x:v>
      </x:c>
      <x:c r="J118" s="50" t="str">
        <x:v>Medium</x:v>
      </x:c>
      <x:c r="K118" s="52" t="str"/>
      <x:c r="L118" s="54"/>
      <x:c r="M118" s="52" t="str"/>
      <x:c r="N118" s="52" t="str"/>
    </x:row>
    <x:row r="119" ht="54" customHeight="1">
      <x:c r="A119" s="50" t="str">
        <x:v>TC-114</x:v>
      </x:c>
      <x:c r="B119" s="50" t="str">
        <x:v>Data Pajak</x:v>
      </x:c>
      <x:c r="C119" s="50" t="str">
        <x:v>Validation</x:v>
      </x:c>
      <x:c r="D119" s="50" t="str">
        <x:v>Status pajak tanpa NOP tampil singkat</x:v>
      </x:c>
      <x:c r="E119" s="50" t="str">
        <x:v>Admin sudah login dan data QA tersedia</x:v>
      </x:c>
      <x:c r="F119" s="50" t="str">
        <x:v>Buka record tanpa NOP</x:v>
      </x:c>
      <x:c r="G119" s="50" t="str">
        <x:v>Label status singkat dan mudah dipahami</x:v>
      </x:c>
      <x:c r="H119" s="51" t="str"/>
      <x:c r="I119" s="51" t="str">
        <x:v>Not Tested</x:v>
      </x:c>
      <x:c r="J119" s="50" t="str">
        <x:v>Medium</x:v>
      </x:c>
      <x:c r="K119" s="52" t="str"/>
      <x:c r="L119" s="54"/>
      <x:c r="M119" s="52" t="str"/>
      <x:c r="N119" s="52" t="str"/>
    </x:row>
    <x:row r="120" ht="54" customHeight="1">
      <x:c r="A120" s="50" t="str">
        <x:v>TC-115</x:v>
      </x:c>
      <x:c r="B120" s="50" t="str">
        <x:v>Data Pajak</x:v>
      </x:c>
      <x:c r="C120" s="50" t="str">
        <x:v>Validation</x:v>
      </x:c>
      <x:c r="D120" s="50" t="str">
        <x:v>NOP kosong ditampilkan sebagai tanda minus</x:v>
      </x:c>
      <x:c r="E120" s="50" t="str">
        <x:v>Admin sudah login dan data QA tersedia</x:v>
      </x:c>
      <x:c r="F120" s="50" t="str">
        <x:v>Buka record dengan NOP kosong</x:v>
      </x:c>
      <x:c r="G120" s="50" t="str">
        <x:v>Kolom NOP menampilkan '-'</x:v>
      </x:c>
      <x:c r="H120" s="51" t="str"/>
      <x:c r="I120" s="51" t="str">
        <x:v>Not Tested</x:v>
      </x:c>
      <x:c r="J120" s="50" t="str">
        <x:v>Medium</x:v>
      </x:c>
      <x:c r="K120" s="52" t="str"/>
      <x:c r="L120" s="54"/>
      <x:c r="M120" s="52" t="str"/>
      <x:c r="N120" s="52" t="str"/>
    </x:row>
    <x:row r="121" ht="54" customHeight="1">
      <x:c r="A121" s="50" t="str">
        <x:v>TC-116</x:v>
      </x:c>
      <x:c r="B121" s="50" t="str">
        <x:v>Data Pajak</x:v>
      </x:c>
      <x:c r="C121" s="50" t="str">
        <x:v>Validation</x:v>
      </x:c>
      <x:c r="D121" s="50" t="str">
        <x:v>Wajib pajak kosong ditampilkan sebagai tanda minus</x:v>
      </x:c>
      <x:c r="E121" s="50" t="str">
        <x:v>Admin sudah login dan data QA tersedia</x:v>
      </x:c>
      <x:c r="F121" s="50" t="str">
        <x:v>Buka record tanpa nama wajib pajak</x:v>
      </x:c>
      <x:c r="G121" s="50" t="str">
        <x:v>Kolom Wajib Pajak menampilkan '-'</x:v>
      </x:c>
      <x:c r="H121" s="51" t="str"/>
      <x:c r="I121" s="51" t="str">
        <x:v>Not Tested</x:v>
      </x:c>
      <x:c r="J121" s="50" t="str">
        <x:v>Medium</x:v>
      </x:c>
      <x:c r="K121" s="52" t="str"/>
      <x:c r="L121" s="54"/>
      <x:c r="M121" s="52" t="str"/>
      <x:c r="N121" s="52" t="str"/>
    </x:row>
    <x:row r="122" ht="54" customHeight="1">
      <x:c r="A122" s="50" t="str">
        <x:v>TC-117</x:v>
      </x:c>
      <x:c r="B122" s="50" t="str">
        <x:v>Data Pajak</x:v>
      </x:c>
      <x:c r="C122" s="50" t="str">
        <x:v>Validation</x:v>
      </x:c>
      <x:c r="D122" s="50" t="str">
        <x:v>Nilai Rupiah menggunakan pemisah ribuan</x:v>
      </x:c>
      <x:c r="E122" s="50" t="str">
        <x:v>Admin sudah login dan data QA tersedia</x:v>
      </x:c>
      <x:c r="F122" s="50" t="str">
        <x:v>Buka record bernilai minimal 1000</x:v>
      </x:c>
      <x:c r="G122" s="50" t="str">
        <x:v>Angka Rupiah menggunakan pemisah sesuai Pengaturan</x:v>
      </x:c>
      <x:c r="H122" s="51" t="str"/>
      <x:c r="I122" s="51" t="str">
        <x:v>Not Tested</x:v>
      </x:c>
      <x:c r="J122" s="50" t="str">
        <x:v>Medium</x:v>
      </x:c>
      <x:c r="K122" s="52" t="str"/>
      <x:c r="L122" s="54"/>
      <x:c r="M122" s="52" t="str"/>
      <x:c r="N122" s="52" t="str"/>
    </x:row>
    <x:row r="123" ht="54" customHeight="1">
      <x:c r="A123" s="50" t="str">
        <x:v>TC-118</x:v>
      </x:c>
      <x:c r="B123" s="50" t="str">
        <x:v>Data Pajak</x:v>
      </x:c>
      <x:c r="C123" s="50" t="str">
        <x:v>Validation</x:v>
      </x:c>
      <x:c r="D123" s="50" t="str">
        <x:v>Pemisah ribuan titik dapat dipilih</x:v>
      </x:c>
      <x:c r="E123" s="50" t="str">
        <x:v>Admin sudah login dan data QA tersedia</x:v>
      </x:c>
      <x:c r="F123" s="50" t="str">
        <x:v>Ubah setting separator menjadi titik</x:v>
      </x:c>
      <x:c r="G123" s="50" t="str">
        <x:v>Nilai 1000 ditampilkan sebagai 1.000</x:v>
      </x:c>
      <x:c r="H123" s="51" t="str"/>
      <x:c r="I123" s="51" t="str">
        <x:v>Not Tested</x:v>
      </x:c>
      <x:c r="J123" s="50" t="str">
        <x:v>Medium</x:v>
      </x:c>
      <x:c r="K123" s="52" t="str"/>
      <x:c r="L123" s="54"/>
      <x:c r="M123" s="52" t="str"/>
      <x:c r="N123" s="52" t="str"/>
    </x:row>
    <x:row r="124" ht="54" customHeight="1">
      <x:c r="A124" s="50" t="str">
        <x:v>TC-119</x:v>
      </x:c>
      <x:c r="B124" s="50" t="str">
        <x:v>Data Pajak</x:v>
      </x:c>
      <x:c r="C124" s="50" t="str">
        <x:v>Validation</x:v>
      </x:c>
      <x:c r="D124" s="50" t="str">
        <x:v>Pemisah ribuan koma dapat dipilih</x:v>
      </x:c>
      <x:c r="E124" s="50" t="str">
        <x:v>Admin sudah login dan data QA tersedia</x:v>
      </x:c>
      <x:c r="F124" s="50" t="str">
        <x:v>Ubah setting separator menjadi koma</x:v>
      </x:c>
      <x:c r="G124" s="50" t="str">
        <x:v>Nilai 1000 ditampilkan sebagai 1,000</x:v>
      </x:c>
      <x:c r="H124" s="51" t="str"/>
      <x:c r="I124" s="51" t="str">
        <x:v>Not Tested</x:v>
      </x:c>
      <x:c r="J124" s="50" t="str">
        <x:v>Medium</x:v>
      </x:c>
      <x:c r="K124" s="52" t="str"/>
      <x:c r="L124" s="54"/>
      <x:c r="M124" s="52" t="str"/>
      <x:c r="N124" s="52" t="str"/>
    </x:row>
    <x:row r="125" ht="54" customHeight="1">
      <x:c r="A125" s="50" t="str">
        <x:v>TC-120</x:v>
      </x:c>
      <x:c r="B125" s="50" t="str">
        <x:v>Data Pajak</x:v>
      </x:c>
      <x:c r="C125" s="50" t="str">
        <x:v>Validation</x:v>
      </x:c>
      <x:c r="D125" s="50" t="str">
        <x:v>Nilai luas dan volume menerima angka valid</x:v>
      </x:c>
      <x:c r="E125" s="50" t="str">
        <x:v>Admin sudah login dan data QA tersedia</x:v>
      </x:c>
      <x:c r="F125" s="50" t="str">
        <x:v>Kelola record pajak dan isi angka desimal</x:v>
      </x:c>
      <x:c r="G125" s="50" t="str">
        <x:v>Nilai tersimpan dan ditampilkan konsisten</x:v>
      </x:c>
      <x:c r="H125" s="51" t="str"/>
      <x:c r="I125" s="51" t="str">
        <x:v>Not Tested</x:v>
      </x:c>
      <x:c r="J125" s="50" t="str">
        <x:v>Medium</x:v>
      </x:c>
      <x:c r="K125" s="52" t="str"/>
      <x:c r="L125" s="54"/>
      <x:c r="M125" s="52" t="str"/>
      <x:c r="N125" s="52" t="str"/>
    </x:row>
    <x:row r="126" ht="54" customHeight="1">
      <x:c r="A126" s="50" t="str">
        <x:v>TC-121</x:v>
      </x:c>
      <x:c r="B126" s="50" t="str">
        <x:v>Data Pajak</x:v>
      </x:c>
      <x:c r="C126" s="50" t="str">
        <x:v>Validation</x:v>
      </x:c>
      <x:c r="D126" s="50" t="str">
        <x:v>Nilai negatif pajak ditolak</x:v>
      </x:c>
      <x:c r="E126" s="50" t="str">
        <x:v>Admin sudah login dan data QA tersedia</x:v>
      </x:c>
      <x:c r="F126" s="50" t="str">
        <x:v>Masukkan nilai negatif pada NJOP/Pajak</x:v>
      </x:c>
      <x:c r="G126" s="50" t="str">
        <x:v>Validasi menolak nilai yang tidak logis</x:v>
      </x:c>
      <x:c r="H126" s="51" t="str"/>
      <x:c r="I126" s="51" t="str">
        <x:v>Not Tested</x:v>
      </x:c>
      <x:c r="J126" s="50" t="str">
        <x:v>Medium</x:v>
      </x:c>
      <x:c r="K126" s="52" t="str"/>
      <x:c r="L126" s="54"/>
      <x:c r="M126" s="52" t="str"/>
      <x:c r="N126" s="52" t="str"/>
    </x:row>
    <x:row r="127" ht="54" customHeight="1">
      <x:c r="A127" s="50" t="str">
        <x:v>TC-122</x:v>
      </x:c>
      <x:c r="B127" s="50" t="str">
        <x:v>Pusat Data</x:v>
      </x:c>
      <x:c r="C127" s="50" t="str">
        <x:v>Functional</x:v>
      </x:c>
      <x:c r="D127" s="50" t="str">
        <x:v>Pusat Data hanya menampilkan kolom penting</x:v>
      </x:c>
      <x:c r="E127" s="50" t="str">
        <x:v>Admin sudah login</x:v>
      </x:c>
      <x:c r="F127" s="50" t="str">
        <x:v>Buka Pusat Data</x:v>
      </x:c>
      <x:c r="G127" s="50" t="str">
        <x:v>Tabel ringkas dan informasi utama mudah dipindai</x:v>
      </x:c>
      <x:c r="H127" s="51" t="str"/>
      <x:c r="I127" s="51" t="str">
        <x:v>Not Tested</x:v>
      </x:c>
      <x:c r="J127" s="50" t="str">
        <x:v>Medium</x:v>
      </x:c>
      <x:c r="K127" s="52" t="str"/>
      <x:c r="L127" s="54"/>
      <x:c r="M127" s="52" t="str"/>
      <x:c r="N127" s="52" t="str"/>
    </x:row>
    <x:row r="128" ht="54" customHeight="1">
      <x:c r="A128" s="50" t="str">
        <x:v>TC-123</x:v>
      </x:c>
      <x:c r="B128" s="50" t="str">
        <x:v>Pusat Data</x:v>
      </x:c>
      <x:c r="C128" s="50" t="str">
        <x:v>Functional</x:v>
      </x:c>
      <x:c r="D128" s="50" t="str">
        <x:v>Label informasi pusat data konsisten</x:v>
      </x:c>
      <x:c r="E128" s="50" t="str">
        <x:v>Admin sudah login</x:v>
      </x:c>
      <x:c r="F128" s="50" t="str">
        <x:v>Periksa beberapa baris</x:v>
      </x:c>
      <x:c r="G128" s="50" t="str">
        <x:v>Label tidak bertumpuk dan status mudah dibaca</x:v>
      </x:c>
      <x:c r="H128" s="51" t="str"/>
      <x:c r="I128" s="51" t="str">
        <x:v>Not Tested</x:v>
      </x:c>
      <x:c r="J128" s="50" t="str">
        <x:v>Medium</x:v>
      </x:c>
      <x:c r="K128" s="52" t="str"/>
      <x:c r="L128" s="54"/>
      <x:c r="M128" s="52" t="str"/>
      <x:c r="N128" s="52" t="str"/>
    </x:row>
    <x:row r="129" ht="54" customHeight="1">
      <x:c r="A129" s="50" t="str">
        <x:v>TC-124</x:v>
      </x:c>
      <x:c r="B129" s="50" t="str">
        <x:v>Pusat Data</x:v>
      </x:c>
      <x:c r="C129" s="50" t="str">
        <x:v>Functional</x:v>
      </x:c>
      <x:c r="D129" s="50" t="str">
        <x:v>Tinggi baris tabel tetap ringkas</x:v>
      </x:c>
      <x:c r="E129" s="50" t="str">
        <x:v>Admin sudah login</x:v>
      </x:c>
      <x:c r="F129" s="50" t="str">
        <x:v>Buka tabel dengan banyak data</x:v>
      </x:c>
      <x:c r="G129" s="50" t="str">
        <x:v>Baris tidak terlalu tinggi</x:v>
      </x:c>
      <x:c r="H129" s="51" t="str"/>
      <x:c r="I129" s="51" t="str">
        <x:v>Not Tested</x:v>
      </x:c>
      <x:c r="J129" s="50" t="str">
        <x:v>Medium</x:v>
      </x:c>
      <x:c r="K129" s="52" t="str"/>
      <x:c r="L129" s="54"/>
      <x:c r="M129" s="52" t="str"/>
      <x:c r="N129" s="52" t="str"/>
    </x:row>
    <x:row r="130" ht="54" customHeight="1">
      <x:c r="A130" s="50" t="str">
        <x:v>TC-125</x:v>
      </x:c>
      <x:c r="B130" s="50" t="str">
        <x:v>Pusat Data</x:v>
      </x:c>
      <x:c r="C130" s="50" t="str">
        <x:v>Functional</x:v>
      </x:c>
      <x:c r="D130" s="50" t="str">
        <x:v>Ikon peta membuka lokasi data</x:v>
      </x:c>
      <x:c r="E130" s="50" t="str">
        <x:v>Admin sudah login</x:v>
      </x:c>
      <x:c r="F130" s="50" t="str">
        <x:v>Klik ikon peta pada data berkoordinat</x:v>
      </x:c>
      <x:c r="G130" s="50" t="str">
        <x:v>Peta terbuka dan fly-to ke lokasi</x:v>
      </x:c>
      <x:c r="H130" s="51" t="str"/>
      <x:c r="I130" s="51" t="str">
        <x:v>Not Tested</x:v>
      </x:c>
      <x:c r="J130" s="50" t="str">
        <x:v>Medium</x:v>
      </x:c>
      <x:c r="K130" s="52" t="str"/>
      <x:c r="L130" s="54"/>
      <x:c r="M130" s="52" t="str"/>
      <x:c r="N130" s="52" t="str"/>
    </x:row>
    <x:row r="131" ht="54" customHeight="1">
      <x:c r="A131" s="50" t="str">
        <x:v>TC-126</x:v>
      </x:c>
      <x:c r="B131" s="50" t="str">
        <x:v>Pusat Data</x:v>
      </x:c>
      <x:c r="C131" s="50" t="str">
        <x:v>Functional</x:v>
      </x:c>
      <x:c r="D131" s="50" t="str">
        <x:v>Data tanpa koordinat ditangani</x:v>
      </x:c>
      <x:c r="E131" s="50" t="str">
        <x:v>Admin sudah login</x:v>
      </x:c>
      <x:c r="F131" s="50" t="str">
        <x:v>Klik/lihat data tanpa koordinat</x:v>
      </x:c>
      <x:c r="G131" s="50" t="str">
        <x:v>Tidak terjadi crash dan tombol diberi state yang sesuai</x:v>
      </x:c>
      <x:c r="H131" s="51" t="str"/>
      <x:c r="I131" s="51" t="str">
        <x:v>Not Tested</x:v>
      </x:c>
      <x:c r="J131" s="50" t="str">
        <x:v>Medium</x:v>
      </x:c>
      <x:c r="K131" s="52" t="str"/>
      <x:c r="L131" s="54"/>
      <x:c r="M131" s="52" t="str"/>
      <x:c r="N131" s="52" t="str"/>
    </x:row>
    <x:row r="132" ht="54" customHeight="1">
      <x:c r="A132" s="50" t="str">
        <x:v>TC-127</x:v>
      </x:c>
      <x:c r="B132" s="50" t="str">
        <x:v>Kelola 2D</x:v>
      </x:c>
      <x:c r="C132" s="50" t="str">
        <x:v>Functional</x:v>
      </x:c>
      <x:c r="D132" s="50" t="str">
        <x:v>Daftar polygon dimuat dari database</x:v>
      </x:c>
      <x:c r="E132" s="50" t="str">
        <x:v>Admin sudah login dan file QA tersedia</x:v>
      </x:c>
      <x:c r="F132" s="50" t="str">
        <x:v>Buka Kelola 2D</x:v>
      </x:c>
      <x:c r="G132" s="50" t="str">
        <x:v>Polygon yang tersimpan muncul pada tabel</x:v>
      </x:c>
      <x:c r="H132" s="51" t="str"/>
      <x:c r="I132" s="51" t="str">
        <x:v>Not Tested</x:v>
      </x:c>
      <x:c r="J132" s="50" t="str">
        <x:v>High</x:v>
      </x:c>
      <x:c r="K132" s="52" t="str"/>
      <x:c r="L132" s="54"/>
      <x:c r="M132" s="52" t="str"/>
      <x:c r="N132" s="52" t="str"/>
    </x:row>
    <x:row r="133" ht="54" customHeight="1">
      <x:c r="A133" s="50" t="str">
        <x:v>TC-128</x:v>
      </x:c>
      <x:c r="B133" s="50" t="str">
        <x:v>Kelola 2D</x:v>
      </x:c>
      <x:c r="C133" s="50" t="str">
        <x:v>Functional</x:v>
      </x:c>
      <x:c r="D133" s="50" t="str">
        <x:v>Kolom Polygon cukup lebar</x:v>
      </x:c>
      <x:c r="E133" s="50" t="str">
        <x:v>Admin sudah login dan file QA tersedia</x:v>
      </x:c>
      <x:c r="F133" s="50" t="str">
        <x:v>Periksa tabel Kelola 2D</x:v>
      </x:c>
      <x:c r="G133" s="50" t="str">
        <x:v>Nilai polygon tidak membuat layout rusak</x:v>
      </x:c>
      <x:c r="H133" s="51" t="str"/>
      <x:c r="I133" s="51" t="str">
        <x:v>Not Tested</x:v>
      </x:c>
      <x:c r="J133" s="50" t="str">
        <x:v>High</x:v>
      </x:c>
      <x:c r="K133" s="52" t="str"/>
      <x:c r="L133" s="54"/>
      <x:c r="M133" s="52" t="str"/>
      <x:c r="N133" s="52" t="str"/>
    </x:row>
    <x:row r="134" ht="54" customHeight="1">
      <x:c r="A134" s="50" t="str">
        <x:v>TC-129</x:v>
      </x:c>
      <x:c r="B134" s="50" t="str">
        <x:v>Kelola 2D</x:v>
      </x:c>
      <x:c r="C134" s="50" t="str">
        <x:v>Validation</x:v>
      </x:c>
      <x:c r="D134" s="50" t="str">
        <x:v>Impor GeoJSON WGS84 valid</x:v>
      </x:c>
      <x:c r="E134" s="50" t="str">
        <x:v>Admin sudah login dan file QA tersedia</x:v>
      </x:c>
      <x:c r="F134" s="50" t="str">
        <x:v>Impor file GeoJSON EPSG:4326</x:v>
      </x:c>
      <x:c r="G134" s="50" t="str">
        <x:v>File diterima dan geometri tersimpan</x:v>
      </x:c>
      <x:c r="H134" s="51" t="str"/>
      <x:c r="I134" s="51" t="str">
        <x:v>Not Tested</x:v>
      </x:c>
      <x:c r="J134" s="50" t="str">
        <x:v>High</x:v>
      </x:c>
      <x:c r="K134" s="52" t="str"/>
      <x:c r="L134" s="54"/>
      <x:c r="M134" s="52" t="str"/>
      <x:c r="N134" s="52" t="str"/>
    </x:row>
    <x:row r="135" ht="54" customHeight="1">
      <x:c r="A135" s="50" t="str">
        <x:v>TC-130</x:v>
      </x:c>
      <x:c r="B135" s="50" t="str">
        <x:v>Kelola 2D</x:v>
      </x:c>
      <x:c r="C135" s="50" t="str">
        <x:v>Validation</x:v>
      </x:c>
      <x:c r="D135" s="50" t="str">
        <x:v>Impor GeoJSON koordinat proyeksi terdeteksi</x:v>
      </x:c>
      <x:c r="E135" s="50" t="str">
        <x:v>Admin sudah login dan file QA tersedia</x:v>
      </x:c>
      <x:c r="F135" s="50" t="str">
        <x:v>Impor GeoJSON non-WGS84</x:v>
      </x:c>
      <x:c r="G135" s="50" t="str">
        <x:v>Sistem menolak/menjelaskan CRS secara aman</x:v>
      </x:c>
      <x:c r="H135" s="51" t="str"/>
      <x:c r="I135" s="51" t="str">
        <x:v>Not Tested</x:v>
      </x:c>
      <x:c r="J135" s="50" t="str">
        <x:v>High</x:v>
      </x:c>
      <x:c r="K135" s="52" t="str"/>
      <x:c r="L135" s="54"/>
      <x:c r="M135" s="52" t="str"/>
      <x:c r="N135" s="52" t="str"/>
    </x:row>
    <x:row r="136" ht="54" customHeight="1">
      <x:c r="A136" s="50" t="str">
        <x:v>TC-131</x:v>
      </x:c>
      <x:c r="B136" s="50" t="str">
        <x:v>Kelola 2D</x:v>
      </x:c>
      <x:c r="C136" s="50" t="str">
        <x:v>Functional</x:v>
      </x:c>
      <x:c r="D136" s="50" t="str">
        <x:v>Longitude dan latitude tidak tertukar</x:v>
      </x:c>
      <x:c r="E136" s="50" t="str">
        <x:v>Admin sudah login dan file QA tersedia</x:v>
      </x:c>
      <x:c r="F136" s="50" t="str">
        <x:v>Impor polygon contoh yang diketahui</x:v>
      </x:c>
      <x:c r="G136" s="50" t="str">
        <x:v>Polygon muncul di lokasi yang benar</x:v>
      </x:c>
      <x:c r="H136" s="51" t="str"/>
      <x:c r="I136" s="51" t="str">
        <x:v>Not Tested</x:v>
      </x:c>
      <x:c r="J136" s="50" t="str">
        <x:v>High</x:v>
      </x:c>
      <x:c r="K136" s="52" t="str"/>
      <x:c r="L136" s="54"/>
      <x:c r="M136" s="52" t="str"/>
      <x:c r="N136" s="52" t="str"/>
    </x:row>
    <x:row r="137" ht="54" customHeight="1">
      <x:c r="A137" s="50" t="str">
        <x:v>TC-132</x:v>
      </x:c>
      <x:c r="B137" s="50" t="str">
        <x:v>Kelola 2D</x:v>
      </x:c>
      <x:c r="C137" s="50" t="str">
        <x:v>Functional</x:v>
      </x:c>
      <x:c r="D137" s="50" t="str">
        <x:v>Polygon hasil impor tampil di map</x:v>
      </x:c>
      <x:c r="E137" s="50" t="str">
        <x:v>Admin sudah login dan file QA tersedia</x:v>
      </x:c>
      <x:c r="F137" s="50" t="str">
        <x:v>Simpan GeoJSON lalu buka peta</x:v>
      </x:c>
      <x:c r="G137" s="50" t="str">
        <x:v>Polygon terlihat di atas basemap</x:v>
      </x:c>
      <x:c r="H137" s="51" t="str"/>
      <x:c r="I137" s="51" t="str">
        <x:v>Not Tested</x:v>
      </x:c>
      <x:c r="J137" s="50" t="str">
        <x:v>High</x:v>
      </x:c>
      <x:c r="K137" s="52" t="str"/>
      <x:c r="L137" s="54"/>
      <x:c r="M137" s="52" t="str"/>
      <x:c r="N137" s="52" t="str"/>
    </x:row>
    <x:row r="138" ht="54" customHeight="1">
      <x:c r="A138" s="50" t="str">
        <x:v>TC-133</x:v>
      </x:c>
      <x:c r="B138" s="50" t="str">
        <x:v>Kelola 2D</x:v>
      </x:c>
      <x:c r="C138" s="50" t="str">
        <x:v>Functional</x:v>
      </x:c>
      <x:c r="D138" s="50" t="str">
        <x:v>Tombol Peta membuka mode 2D</x:v>
      </x:c>
      <x:c r="E138" s="50" t="str">
        <x:v>Admin sudah login dan file QA tersedia</x:v>
      </x:c>
      <x:c r="F138" s="50" t="str">
        <x:v>Klik tombol Peta pada salah satu record</x:v>
      </x:c>
      <x:c r="G138" s="50" t="str">
        <x:v>Map terbuka langsung pada mode 2D</x:v>
      </x:c>
      <x:c r="H138" s="51" t="str"/>
      <x:c r="I138" s="51" t="str">
        <x:v>Not Tested</x:v>
      </x:c>
      <x:c r="J138" s="50" t="str">
        <x:v>High</x:v>
      </x:c>
      <x:c r="K138" s="52" t="str"/>
      <x:c r="L138" s="54"/>
      <x:c r="M138" s="52" t="str"/>
      <x:c r="N138" s="52" t="str"/>
    </x:row>
    <x:row r="139" ht="54" customHeight="1">
      <x:c r="A139" s="50" t="str">
        <x:v>TC-134</x:v>
      </x:c>
      <x:c r="B139" s="50" t="str">
        <x:v>Kelola 2D</x:v>
      </x:c>
      <x:c r="C139" s="50" t="str">
        <x:v>Functional</x:v>
      </x:c>
      <x:c r="D139" s="50" t="str">
        <x:v>Tombol Peta melakukan fly-to</x:v>
      </x:c>
      <x:c r="E139" s="50" t="str">
        <x:v>Admin sudah login dan file QA tersedia</x:v>
      </x:c>
      <x:c r="F139" s="50" t="str">
        <x:v>Klik tombol Peta untuk record berkoordinat</x:v>
      </x:c>
      <x:c r="G139" s="50" t="str">
        <x:v>Kamera menuju centroid/koordinat record</x:v>
      </x:c>
      <x:c r="H139" s="51" t="str"/>
      <x:c r="I139" s="51" t="str">
        <x:v>Not Tested</x:v>
      </x:c>
      <x:c r="J139" s="50" t="str">
        <x:v>High</x:v>
      </x:c>
      <x:c r="K139" s="52" t="str"/>
      <x:c r="L139" s="54"/>
      <x:c r="M139" s="52" t="str"/>
      <x:c r="N139" s="52" t="str"/>
    </x:row>
    <x:row r="140" ht="54" customHeight="1">
      <x:c r="A140" s="50" t="str">
        <x:v>TC-135</x:v>
      </x:c>
      <x:c r="B140" s="50" t="str">
        <x:v>Kelola 2D</x:v>
      </x:c>
      <x:c r="C140" s="50" t="str">
        <x:v>Functional</x:v>
      </x:c>
      <x:c r="D140" s="50" t="str">
        <x:v>Basemap ESRI tetap sinkron dengan setting</x:v>
      </x:c>
      <x:c r="E140" s="50" t="str">
        <x:v>Admin sudah login dan file QA tersedia</x:v>
      </x:c>
      <x:c r="F140" s="50" t="str">
        <x:v>Buka map dari Kelola 2D</x:v>
      </x:c>
      <x:c r="G140" s="50" t="str">
        <x:v>Visual basemap sesuai pilihan ESRI</x:v>
      </x:c>
      <x:c r="H140" s="51" t="str"/>
      <x:c r="I140" s="51" t="str">
        <x:v>Not Tested</x:v>
      </x:c>
      <x:c r="J140" s="50" t="str">
        <x:v>High</x:v>
      </x:c>
      <x:c r="K140" s="52" t="str"/>
      <x:c r="L140" s="54"/>
      <x:c r="M140" s="52" t="str"/>
      <x:c r="N140" s="52" t="str"/>
    </x:row>
    <x:row r="141" ht="54" customHeight="1">
      <x:c r="A141" s="50" t="str">
        <x:v>TC-136</x:v>
      </x:c>
      <x:c r="B141" s="50" t="str">
        <x:v>Kelola 2D</x:v>
      </x:c>
      <x:c r="C141" s="50" t="str">
        <x:v>Validation</x:v>
      </x:c>
      <x:c r="D141" s="50" t="str">
        <x:v>GeoJSON kosong ditolak</x:v>
      </x:c>
      <x:c r="E141" s="50" t="str">
        <x:v>Admin sudah login dan file QA tersedia</x:v>
      </x:c>
      <x:c r="F141" s="50" t="str">
        <x:v>Impor FeatureCollection tanpa feature</x:v>
      </x:c>
      <x:c r="G141" s="50" t="str">
        <x:v>Pesan validasi tampil</x:v>
      </x:c>
      <x:c r="H141" s="51" t="str"/>
      <x:c r="I141" s="51" t="str">
        <x:v>Not Tested</x:v>
      </x:c>
      <x:c r="J141" s="50" t="str">
        <x:v>High</x:v>
      </x:c>
      <x:c r="K141" s="52" t="str"/>
      <x:c r="L141" s="54"/>
      <x:c r="M141" s="52" t="str"/>
      <x:c r="N141" s="52" t="str"/>
    </x:row>
    <x:row r="142" ht="54" customHeight="1">
      <x:c r="A142" s="50" t="str">
        <x:v>TC-137</x:v>
      </x:c>
      <x:c r="B142" s="50" t="str">
        <x:v>Kelola 2D</x:v>
      </x:c>
      <x:c r="C142" s="50" t="str">
        <x:v>Validation</x:v>
      </x:c>
      <x:c r="D142" s="50" t="str">
        <x:v>GeoJSON rusak ditolak</x:v>
      </x:c>
      <x:c r="E142" s="50" t="str">
        <x:v>Admin sudah login dan file QA tersedia</x:v>
      </x:c>
      <x:c r="F142" s="50" t="str">
        <x:v>Impor JSON yang tidak valid</x:v>
      </x:c>
      <x:c r="G142" s="50" t="str">
        <x:v>Pesan error jelas dan aplikasi tidak crash</x:v>
      </x:c>
      <x:c r="H142" s="51" t="str"/>
      <x:c r="I142" s="51" t="str">
        <x:v>Not Tested</x:v>
      </x:c>
      <x:c r="J142" s="50" t="str">
        <x:v>High</x:v>
      </x:c>
      <x:c r="K142" s="52" t="str"/>
      <x:c r="L142" s="54"/>
      <x:c r="M142" s="52" t="str"/>
      <x:c r="N142" s="52" t="str"/>
    </x:row>
    <x:row r="143" ht="54" customHeight="1">
      <x:c r="A143" s="50" t="str">
        <x:v>TC-138</x:v>
      </x:c>
      <x:c r="B143" s="50" t="str">
        <x:v>Kelola 2D</x:v>
      </x:c>
      <x:c r="C143" s="50" t="str">
        <x:v>Validation</x:v>
      </x:c>
      <x:c r="D143" s="50" t="str">
        <x:v>Geometri di luar rentang ditolak</x:v>
      </x:c>
      <x:c r="E143" s="50" t="str">
        <x:v>Admin sudah login dan file QA tersedia</x:v>
      </x:c>
      <x:c r="F143" s="50" t="str">
        <x:v>Impor latitude di luar -90..90</x:v>
      </x:c>
      <x:c r="G143" s="50" t="str">
        <x:v>Validasi menolak tanpa Unexpected Application Error</x:v>
      </x:c>
      <x:c r="H143" s="51" t="str"/>
      <x:c r="I143" s="51" t="str">
        <x:v>Not Tested</x:v>
      </x:c>
      <x:c r="J143" s="50" t="str">
        <x:v>High</x:v>
      </x:c>
      <x:c r="K143" s="52" t="str"/>
      <x:c r="L143" s="54"/>
      <x:c r="M143" s="52" t="str"/>
      <x:c r="N143" s="52" t="str"/>
    </x:row>
    <x:row r="144" ht="54" customHeight="1">
      <x:c r="A144" s="50" t="str">
        <x:v>TC-139</x:v>
      </x:c>
      <x:c r="B144" s="50" t="str">
        <x:v>Kelola 2D</x:v>
      </x:c>
      <x:c r="C144" s="50" t="str">
        <x:v>Functional</x:v>
      </x:c>
      <x:c r="D144" s="50" t="str">
        <x:v>MultiPolygon ditangani</x:v>
      </x:c>
      <x:c r="E144" s="50" t="str">
        <x:v>Admin sudah login dan file QA tersedia</x:v>
      </x:c>
      <x:c r="F144" s="50" t="str">
        <x:v>Impor file MultiPolygon valid</x:v>
      </x:c>
      <x:c r="G144" s="50" t="str">
        <x:v>Semua bagian geometri tersimpan/tampil</x:v>
      </x:c>
      <x:c r="H144" s="51" t="str"/>
      <x:c r="I144" s="51" t="str">
        <x:v>Not Tested</x:v>
      </x:c>
      <x:c r="J144" s="50" t="str">
        <x:v>High</x:v>
      </x:c>
      <x:c r="K144" s="52" t="str"/>
      <x:c r="L144" s="54"/>
      <x:c r="M144" s="52" t="str"/>
      <x:c r="N144" s="52" t="str"/>
    </x:row>
    <x:row r="145" ht="54" customHeight="1">
      <x:c r="A145" s="50" t="str">
        <x:v>TC-140</x:v>
      </x:c>
      <x:c r="B145" s="50" t="str">
        <x:v>Kelola 2D</x:v>
      </x:c>
      <x:c r="C145" s="50" t="str">
        <x:v>Functional</x:v>
      </x:c>
      <x:c r="D145" s="50" t="str">
        <x:v>Edit koordinat memperbarui map</x:v>
      </x:c>
      <x:c r="E145" s="50" t="str">
        <x:v>Admin sudah login dan file QA tersedia</x:v>
      </x:c>
      <x:c r="F145" s="50" t="str">
        <x:v>Ubah koordinat record QA lalu simpan</x:v>
      </x:c>
      <x:c r="G145" s="50" t="str">
        <x:v>Lokasi baru digunakan setelah refresh</x:v>
      </x:c>
      <x:c r="H145" s="51" t="str"/>
      <x:c r="I145" s="51" t="str">
        <x:v>Not Tested</x:v>
      </x:c>
      <x:c r="J145" s="50" t="str">
        <x:v>High</x:v>
      </x:c>
      <x:c r="K145" s="52" t="str"/>
      <x:c r="L145" s="54"/>
      <x:c r="M145" s="52" t="str"/>
      <x:c r="N145" s="52" t="str"/>
    </x:row>
    <x:row r="146" ht="54" customHeight="1">
      <x:c r="A146" s="50" t="str">
        <x:v>TC-141</x:v>
      </x:c>
      <x:c r="B146" s="50" t="str">
        <x:v>Kelola 3D</x:v>
      </x:c>
      <x:c r="C146" s="50" t="str">
        <x:v>Functional</x:v>
      </x:c>
      <x:c r="D146" s="50" t="str">
        <x:v>Daftar model 3D dapat dimuat</x:v>
      </x:c>
      <x:c r="E146" s="50" t="str">
        <x:v>Admin sudah login dan model QA tersedia</x:v>
      </x:c>
      <x:c r="F146" s="50" t="str">
        <x:v>Buka Kelola 3D</x:v>
      </x:c>
      <x:c r="G146" s="50" t="str">
        <x:v>Tabel model tampil tanpa error</x:v>
      </x:c>
      <x:c r="H146" s="51" t="str"/>
      <x:c r="I146" s="51" t="str">
        <x:v>Not Tested</x:v>
      </x:c>
      <x:c r="J146" s="50" t="str">
        <x:v>High</x:v>
      </x:c>
      <x:c r="K146" s="52" t="str"/>
      <x:c r="L146" s="54"/>
      <x:c r="M146" s="52" t="str"/>
      <x:c r="N146" s="52" t="str"/>
    </x:row>
    <x:row r="147" ht="54" customHeight="1">
      <x:c r="A147" s="50" t="str">
        <x:v>TC-142</x:v>
      </x:c>
      <x:c r="B147" s="50" t="str">
        <x:v>Kelola 3D</x:v>
      </x:c>
      <x:c r="C147" s="50" t="str">
        <x:v>Functional</x:v>
      </x:c>
      <x:c r="D147" s="50" t="str">
        <x:v>Kolom aksi membeku di kanan</x:v>
      </x:c>
      <x:c r="E147" s="50" t="str">
        <x:v>Admin sudah login dan model QA tersedia</x:v>
      </x:c>
      <x:c r="F147" s="50" t="str">
        <x:v>Scroll tabel secara horizontal jika diperlukan</x:v>
      </x:c>
      <x:c r="G147" s="50" t="str">
        <x:v>Kolom Kelola tetap terlihat di kanan</x:v>
      </x:c>
      <x:c r="H147" s="51" t="str"/>
      <x:c r="I147" s="51" t="str">
        <x:v>Not Tested</x:v>
      </x:c>
      <x:c r="J147" s="50" t="str">
        <x:v>High</x:v>
      </x:c>
      <x:c r="K147" s="52" t="str"/>
      <x:c r="L147" s="54"/>
      <x:c r="M147" s="52" t="str"/>
      <x:c r="N147" s="52" t="str"/>
    </x:row>
    <x:row r="148" ht="54" customHeight="1">
      <x:c r="A148" s="50" t="str">
        <x:v>TC-143</x:v>
      </x:c>
      <x:c r="B148" s="50" t="str">
        <x:v>Kelola 3D</x:v>
      </x:c>
      <x:c r="C148" s="50" t="str">
        <x:v>Functional</x:v>
      </x:c>
      <x:c r="D148" s="50" t="str">
        <x:v>Tombol refresh sejajar dengan menu lain</x:v>
      </x:c>
      <x:c r="E148" s="50" t="str">
        <x:v>Admin sudah login dan model QA tersedia</x:v>
      </x:c>
      <x:c r="F148" s="50" t="str">
        <x:v>Periksa area filter/search</x:v>
      </x:c>
      <x:c r="G148" s="50" t="str">
        <x:v>Tata letak konsisten</x:v>
      </x:c>
      <x:c r="H148" s="51" t="str"/>
      <x:c r="I148" s="51" t="str">
        <x:v>Not Tested</x:v>
      </x:c>
      <x:c r="J148" s="50" t="str">
        <x:v>High</x:v>
      </x:c>
      <x:c r="K148" s="52" t="str"/>
      <x:c r="L148" s="54"/>
      <x:c r="M148" s="52" t="str"/>
      <x:c r="N148" s="52" t="str"/>
    </x:row>
    <x:row r="149" ht="54" customHeight="1">
      <x:c r="A149" s="50" t="str">
        <x:v>TC-144</x:v>
      </x:c>
      <x:c r="B149" s="50" t="str">
        <x:v>Kelola 3D</x:v>
      </x:c>
      <x:c r="C149" s="50" t="str">
        <x:v>Functional</x:v>
      </x:c>
      <x:c r="D149" s="50" t="str">
        <x:v>Search menemukan kode 3D</x:v>
      </x:c>
      <x:c r="E149" s="50" t="str">
        <x:v>Admin sudah login dan model QA tersedia</x:v>
      </x:c>
      <x:c r="F149" s="50" t="str">
        <x:v>Cari kode model yang diketahui</x:v>
      </x:c>
      <x:c r="G149" s="50" t="str">
        <x:v>Record model ditemukan</x:v>
      </x:c>
      <x:c r="H149" s="51" t="str"/>
      <x:c r="I149" s="51" t="str">
        <x:v>Not Tested</x:v>
      </x:c>
      <x:c r="J149" s="50" t="str">
        <x:v>High</x:v>
      </x:c>
      <x:c r="K149" s="52" t="str"/>
      <x:c r="L149" s="54"/>
      <x:c r="M149" s="52" t="str"/>
      <x:c r="N149" s="52" t="str"/>
    </x:row>
    <x:row r="150" ht="54" customHeight="1">
      <x:c r="A150" s="50" t="str">
        <x:v>TC-145</x:v>
      </x:c>
      <x:c r="B150" s="50" t="str">
        <x:v>Kelola 3D</x:v>
      </x:c>
      <x:c r="C150" s="50" t="str">
        <x:v>Functional</x:v>
      </x:c>
      <x:c r="D150" s="50" t="str">
        <x:v>Pindah tab mempertahankan input</x:v>
      </x:c>
      <x:c r="E150" s="50" t="str">
        <x:v>Admin sudah login dan model QA tersedia</x:v>
      </x:c>
      <x:c r="F150" s="50" t="str">
        <x:v>Ubah input Data Model, pindah Detail Model, lalu kembali</x:v>
      </x:c>
      <x:c r="G150" s="50" t="str">
        <x:v>Data belum tersimpan tidak hilang</x:v>
      </x:c>
      <x:c r="H150" s="51" t="str"/>
      <x:c r="I150" s="51" t="str">
        <x:v>Not Tested</x:v>
      </x:c>
      <x:c r="J150" s="50" t="str">
        <x:v>High</x:v>
      </x:c>
      <x:c r="K150" s="52" t="str"/>
      <x:c r="L150" s="54"/>
      <x:c r="M150" s="52" t="str"/>
      <x:c r="N150" s="52" t="str"/>
    </x:row>
    <x:row r="151" ht="54" customHeight="1">
      <x:c r="A151" s="50" t="str">
        <x:v>TC-146</x:v>
      </x:c>
      <x:c r="B151" s="50" t="str">
        <x:v>Kelola 3D</x:v>
      </x:c>
      <x:c r="C151" s="50" t="str">
        <x:v>Functional</x:v>
      </x:c>
      <x:c r="D151" s="50" t="str">
        <x:v>Tab menggunakan pergantian komponen</x:v>
      </x:c>
      <x:c r="E151" s="50" t="str">
        <x:v>Admin sudah login dan model QA tersedia</x:v>
      </x:c>
      <x:c r="F151" s="50" t="str">
        <x:v>Pindah antar-tab</x:v>
      </x:c>
      <x:c r="G151" s="50" t="str">
        <x:v>URL tidak berubah dan transisi terasa seperti halaman</x:v>
      </x:c>
      <x:c r="H151" s="51" t="str"/>
      <x:c r="I151" s="51" t="str">
        <x:v>Not Tested</x:v>
      </x:c>
      <x:c r="J151" s="50" t="str">
        <x:v>High</x:v>
      </x:c>
      <x:c r="K151" s="52" t="str"/>
      <x:c r="L151" s="54"/>
      <x:c r="M151" s="52" t="str"/>
      <x:c r="N151" s="52" t="str"/>
    </x:row>
    <x:row r="152" ht="54" customHeight="1">
      <x:c r="A152" s="50" t="str">
        <x:v>TC-147</x:v>
      </x:c>
      <x:c r="B152" s="50" t="str">
        <x:v>Kelola 3D</x:v>
      </x:c>
      <x:c r="C152" s="50" t="str">
        <x:v>Functional</x:v>
      </x:c>
      <x:c r="D152" s="50" t="str">
        <x:v>Daftar Ruang dalam state nonaktif</x:v>
      </x:c>
      <x:c r="E152" s="50" t="str">
        <x:v>Admin sudah login dan model QA tersedia</x:v>
      </x:c>
      <x:c r="F152" s="50" t="str">
        <x:v>Periksa tab Daftar Ruang</x:v>
      </x:c>
      <x:c r="G152" s="50" t="str">
        <x:v>Tab terlihat disabled/dalam pengembangan</x:v>
      </x:c>
      <x:c r="H152" s="51" t="str"/>
      <x:c r="I152" s="51" t="str">
        <x:v>Not Tested</x:v>
      </x:c>
      <x:c r="J152" s="50" t="str">
        <x:v>High</x:v>
      </x:c>
      <x:c r="K152" s="52" t="str"/>
      <x:c r="L152" s="54"/>
      <x:c r="M152" s="52" t="str"/>
      <x:c r="N152" s="52" t="str"/>
    </x:row>
    <x:row r="153" ht="54" customHeight="1">
      <x:c r="A153" s="50" t="str">
        <x:v>TC-148</x:v>
      </x:c>
      <x:c r="B153" s="50" t="str">
        <x:v>Kelola 3D</x:v>
      </x:c>
      <x:c r="C153" s="50" t="str">
        <x:v>Validation</x:v>
      </x:c>
      <x:c r="D153" s="50" t="str">
        <x:v>Import GLB valid</x:v>
      </x:c>
      <x:c r="E153" s="50" t="str">
        <x:v>Admin sudah login dan model QA tersedia</x:v>
      </x:c>
      <x:c r="F153" s="50" t="str">
        <x:v>Unggah file GLB valid</x:v>
      </x:c>
      <x:c r="G153" s="50" t="str">
        <x:v>Model diproses dan dapat dipreview</x:v>
      </x:c>
      <x:c r="H153" s="51" t="str"/>
      <x:c r="I153" s="51" t="str">
        <x:v>Not Tested</x:v>
      </x:c>
      <x:c r="J153" s="50" t="str">
        <x:v>High</x:v>
      </x:c>
      <x:c r="K153" s="52" t="str"/>
      <x:c r="L153" s="54"/>
      <x:c r="M153" s="52" t="str"/>
      <x:c r="N153" s="52" t="str"/>
    </x:row>
    <x:row r="154" ht="54" customHeight="1">
      <x:c r="A154" s="50" t="str">
        <x:v>TC-149</x:v>
      </x:c>
      <x:c r="B154" s="50" t="str">
        <x:v>Kelola 3D</x:v>
      </x:c>
      <x:c r="C154" s="50" t="str">
        <x:v>Validation</x:v>
      </x:c>
      <x:c r="D154" s="50" t="str">
        <x:v>Import KMZ valid</x:v>
      </x:c>
      <x:c r="E154" s="50" t="str">
        <x:v>Admin sudah login dan model QA tersedia</x:v>
      </x:c>
      <x:c r="F154" s="50" t="str">
        <x:v>Unggah file KMZ valid</x:v>
      </x:c>
      <x:c r="G154" s="50" t="str">
        <x:v>Model diproses tanpa error WASM/ENOENT</x:v>
      </x:c>
      <x:c r="H154" s="51" t="str"/>
      <x:c r="I154" s="51" t="str">
        <x:v>Not Tested</x:v>
      </x:c>
      <x:c r="J154" s="50" t="str">
        <x:v>High</x:v>
      </x:c>
      <x:c r="K154" s="52" t="str"/>
      <x:c r="L154" s="54"/>
      <x:c r="M154" s="52" t="str"/>
      <x:c r="N154" s="52" t="str"/>
    </x:row>
    <x:row r="155" ht="54" customHeight="1">
      <x:c r="A155" s="50" t="str">
        <x:v>TC-150</x:v>
      </x:c>
      <x:c r="B155" s="50" t="str">
        <x:v>Kelola 3D</x:v>
      </x:c>
      <x:c r="C155" s="50" t="str">
        <x:v>Functional</x:v>
      </x:c>
      <x:c r="D155" s="50" t="str">
        <x:v>Koordinat hasil impor 3D tersimpan</x:v>
      </x:c>
      <x:c r="E155" s="50" t="str">
        <x:v>Admin sudah login dan model QA tersedia</x:v>
      </x:c>
      <x:c r="F155" s="50" t="str">
        <x:v>Impor model yang menghasilkan koordinat</x:v>
      </x:c>
      <x:c r="G155" s="50" t="str">
        <x:v>Koordinat record diperbarui sesuai aturan sistem</x:v>
      </x:c>
      <x:c r="H155" s="51" t="str"/>
      <x:c r="I155" s="51" t="str">
        <x:v>Not Tested</x:v>
      </x:c>
      <x:c r="J155" s="50" t="str">
        <x:v>High</x:v>
      </x:c>
      <x:c r="K155" s="52" t="str"/>
      <x:c r="L155" s="54"/>
      <x:c r="M155" s="52" t="str"/>
      <x:c r="N155" s="52" t="str"/>
    </x:row>
    <x:row r="156" ht="54" customHeight="1">
      <x:c r="A156" s="50" t="str">
        <x:v>TC-151</x:v>
      </x:c>
      <x:c r="B156" s="50" t="str">
        <x:v>Kelola 3D</x:v>
      </x:c>
      <x:c r="C156" s="50" t="str">
        <x:v>Functional</x:v>
      </x:c>
      <x:c r="D156" s="50" t="str">
        <x:v>Preview dapat mengganti basemap</x:v>
      </x:c>
      <x:c r="E156" s="50" t="str">
        <x:v>Admin sudah login dan model QA tersedia</x:v>
      </x:c>
      <x:c r="F156" s="50" t="str">
        <x:v>Buka preview dan pilih basemap lain</x:v>
      </x:c>
      <x:c r="G156" s="50" t="str">
        <x:v>Basemap berubah tanpa menghilangkan model</x:v>
      </x:c>
      <x:c r="H156" s="51" t="str"/>
      <x:c r="I156" s="51" t="str">
        <x:v>Not Tested</x:v>
      </x:c>
      <x:c r="J156" s="50" t="str">
        <x:v>High</x:v>
      </x:c>
      <x:c r="K156" s="52" t="str"/>
      <x:c r="L156" s="54"/>
      <x:c r="M156" s="52" t="str"/>
      <x:c r="N156" s="52" t="str"/>
    </x:row>
    <x:row r="157" ht="54" customHeight="1">
      <x:c r="A157" s="50" t="str">
        <x:v>TC-152</x:v>
      </x:c>
      <x:c r="B157" s="50" t="str">
        <x:v>Kelola 3D</x:v>
      </x:c>
      <x:c r="C157" s="50" t="str">
        <x:v>Functional</x:v>
      </x:c>
      <x:c r="D157" s="50" t="str">
        <x:v>Tombol Peta membuka mode 3D yang benar</x:v>
      </x:c>
      <x:c r="E157" s="50" t="str">
        <x:v>Admin sudah login dan model QA tersedia</x:v>
      </x:c>
      <x:c r="F157" s="50" t="str">
        <x:v>Klik Peta pada record model</x:v>
      </x:c>
      <x:c r="G157" s="50" t="str">
        <x:v>Map membuka mode 3D dan popup/model tampil tanpa toggle manual</x:v>
      </x:c>
      <x:c r="H157" s="51" t="str"/>
      <x:c r="I157" s="51" t="str">
        <x:v>Not Tested</x:v>
      </x:c>
      <x:c r="J157" s="50" t="str">
        <x:v>High</x:v>
      </x:c>
      <x:c r="K157" s="52" t="str"/>
      <x:c r="L157" s="54"/>
      <x:c r="M157" s="52" t="str"/>
      <x:c r="N157" s="52" t="str"/>
    </x:row>
    <x:row r="158" ht="54" customHeight="1">
      <x:c r="A158" s="50" t="str">
        <x:v>TC-153</x:v>
      </x:c>
      <x:c r="B158" s="50" t="str">
        <x:v>Kelola 3D</x:v>
      </x:c>
      <x:c r="C158" s="50" t="str">
        <x:v>Functional</x:v>
      </x:c>
      <x:c r="D158" s="50" t="str">
        <x:v>Detail Model mudah dipahami</x:v>
      </x:c>
      <x:c r="E158" s="50" t="str">
        <x:v>Admin sudah login dan model QA tersedia</x:v>
      </x:c>
      <x:c r="F158" s="50" t="str">
        <x:v>Buka Detail Model</x:v>
      </x:c>
      <x:c r="G158" s="50" t="str">
        <x:v>Informasi dasar terkelompok dan label jelas</x:v>
      </x:c>
      <x:c r="H158" s="51" t="str"/>
      <x:c r="I158" s="51" t="str">
        <x:v>Not Tested</x:v>
      </x:c>
      <x:c r="J158" s="50" t="str">
        <x:v>High</x:v>
      </x:c>
      <x:c r="K158" s="52" t="str"/>
      <x:c r="L158" s="54"/>
      <x:c r="M158" s="52" t="str"/>
      <x:c r="N158" s="52" t="str"/>
    </x:row>
    <x:row r="159" ht="54" customHeight="1">
      <x:c r="A159" s="50" t="str">
        <x:v>TC-154</x:v>
      </x:c>
      <x:c r="B159" s="50" t="str">
        <x:v>Kelola 3D</x:v>
      </x:c>
      <x:c r="C159" s="50" t="str">
        <x:v>Functional</x:v>
      </x:c>
      <x:c r="D159" s="50" t="str">
        <x:v>Ketinggian berada pada Informasi Dasar</x:v>
      </x:c>
      <x:c r="E159" s="50" t="str">
        <x:v>Admin sudah login dan model QA tersedia</x:v>
      </x:c>
      <x:c r="F159" s="50" t="str">
        <x:v>Buka form Detail Model</x:v>
      </x:c>
      <x:c r="G159" s="50" t="str">
        <x:v>Field Ketinggian berada di bagian Informasi Dasar</x:v>
      </x:c>
      <x:c r="H159" s="51" t="str"/>
      <x:c r="I159" s="51" t="str">
        <x:v>Not Tested</x:v>
      </x:c>
      <x:c r="J159" s="50" t="str">
        <x:v>High</x:v>
      </x:c>
      <x:c r="K159" s="52" t="str"/>
      <x:c r="L159" s="54"/>
      <x:c r="M159" s="52" t="str"/>
      <x:c r="N159" s="52" t="str"/>
    </x:row>
    <x:row r="160" ht="54" customHeight="1">
      <x:c r="A160" s="50" t="str">
        <x:v>TC-155</x:v>
      </x:c>
      <x:c r="B160" s="50" t="str">
        <x:v>Kelola 3D</x:v>
      </x:c>
      <x:c r="C160" s="50" t="str">
        <x:v>Functional</x:v>
      </x:c>
      <x:c r="D160" s="50" t="str">
        <x:v>Field yang telah dihapus tidak muncul</x:v>
      </x:c>
      <x:c r="E160" s="50" t="str">
        <x:v>Admin sudah login dan model QA tersedia</x:v>
      </x:c>
      <x:c r="F160" s="50" t="str">
        <x:v>Periksa form model</x:v>
      </x:c>
      <x:c r="G160" s="50" t="str">
        <x:v>Tapak bangunan, CRS, sumber/referensi, dan verifikasi tidak diwajibkan</x:v>
      </x:c>
      <x:c r="H160" s="51" t="str"/>
      <x:c r="I160" s="51" t="str">
        <x:v>Not Tested</x:v>
      </x:c>
      <x:c r="J160" s="50" t="str">
        <x:v>High</x:v>
      </x:c>
      <x:c r="K160" s="52" t="str"/>
      <x:c r="L160" s="54"/>
      <x:c r="M160" s="52" t="str"/>
      <x:c r="N160" s="52" t="str"/>
    </x:row>
    <x:row r="161" ht="54" customHeight="1">
      <x:c r="A161" s="50" t="str">
        <x:v>TC-156</x:v>
      </x:c>
      <x:c r="B161" s="50" t="str">
        <x:v>Kelola 3D</x:v>
      </x:c>
      <x:c r="C161" s="50" t="str">
        <x:v>Validation</x:v>
      </x:c>
      <x:c r="D161" s="50" t="str">
        <x:v>File 3D tidak didukung ditolak</x:v>
      </x:c>
      <x:c r="E161" s="50" t="str">
        <x:v>Admin sudah login dan model QA tersedia</x:v>
      </x:c>
      <x:c r="F161" s="50" t="str">
        <x:v>Unggah file ekstensi lain</x:v>
      </x:c>
      <x:c r="G161" s="50" t="str">
        <x:v>Upload ditolak dengan pesan format</x:v>
      </x:c>
      <x:c r="H161" s="51" t="str"/>
      <x:c r="I161" s="51" t="str">
        <x:v>Not Tested</x:v>
      </x:c>
      <x:c r="J161" s="50" t="str">
        <x:v>High</x:v>
      </x:c>
      <x:c r="K161" s="52" t="str"/>
      <x:c r="L161" s="54"/>
      <x:c r="M161" s="52" t="str"/>
      <x:c r="N161" s="52" t="str"/>
    </x:row>
    <x:row r="162" ht="54" customHeight="1">
      <x:c r="A162" s="50" t="str">
        <x:v>TC-157</x:v>
      </x:c>
      <x:c r="B162" s="50" t="str">
        <x:v>Penyewaan</x:v>
      </x:c>
      <x:c r="C162" s="50" t="str">
        <x:v>Functional</x:v>
      </x:c>
      <x:c r="D162" s="50" t="str">
        <x:v>Daftar objek sewa tersedia dapat dimuat</x:v>
      </x:c>
      <x:c r="E162" s="50" t="str">
        <x:v>Data dan akun QA tersedia</x:v>
      </x:c>
      <x:c r="F162" s="50" t="str">
        <x:v>Buka menu penyewaan</x:v>
      </x:c>
      <x:c r="G162" s="50" t="str">
        <x:v>Data tersedia tampil dari database</x:v>
      </x:c>
      <x:c r="H162" s="51" t="str"/>
      <x:c r="I162" s="51" t="str">
        <x:v>Not Tested</x:v>
      </x:c>
      <x:c r="J162" s="50" t="str">
        <x:v>High</x:v>
      </x:c>
      <x:c r="K162" s="52" t="str"/>
      <x:c r="L162" s="54"/>
      <x:c r="M162" s="52" t="str"/>
      <x:c r="N162" s="52" t="str"/>
    </x:row>
    <x:row r="163" ht="54" customHeight="1">
      <x:c r="A163" s="50" t="str">
        <x:v>TC-158</x:v>
      </x:c>
      <x:c r="B163" s="50" t="str">
        <x:v>Penyewaan</x:v>
      </x:c>
      <x:c r="C163" s="50" t="str">
        <x:v>Functional</x:v>
      </x:c>
      <x:c r="D163" s="50" t="str">
        <x:v>Detail objek sewa dapat dibuka</x:v>
      </x:c>
      <x:c r="E163" s="50" t="str">
        <x:v>Data dan akun QA tersedia</x:v>
      </x:c>
      <x:c r="F163" s="50" t="str">
        <x:v>Pilih salah satu objek sewa</x:v>
      </x:c>
      <x:c r="G163" s="50" t="str">
        <x:v>Informasi dan foto tampil lengkap</x:v>
      </x:c>
      <x:c r="H163" s="51" t="str"/>
      <x:c r="I163" s="51" t="str">
        <x:v>Not Tested</x:v>
      </x:c>
      <x:c r="J163" s="50" t="str">
        <x:v>High</x:v>
      </x:c>
      <x:c r="K163" s="52" t="str"/>
      <x:c r="L163" s="54"/>
      <x:c r="M163" s="52" t="str"/>
      <x:c r="N163" s="52" t="str"/>
    </x:row>
    <x:row r="164" ht="54" customHeight="1">
      <x:c r="A164" s="50" t="str">
        <x:v>TC-159</x:v>
      </x:c>
      <x:c r="B164" s="50" t="str">
        <x:v>Penyewaan</x:v>
      </x:c>
      <x:c r="C164" s="50" t="str">
        <x:v>Functional</x:v>
      </x:c>
      <x:c r="D164" s="50" t="str">
        <x:v>Pengajuan sewa dengan data valid</x:v>
      </x:c>
      <x:c r="E164" s="50" t="str">
        <x:v>Data dan akun QA tersedia</x:v>
      </x:c>
      <x:c r="F164" s="50" t="str">
        <x:v>Isi form valid lalu kirim</x:v>
      </x:c>
      <x:c r="G164" s="50" t="str">
        <x:v>Pengajuan tersimpan dan nomor/referensi diberikan</x:v>
      </x:c>
      <x:c r="H164" s="51" t="str"/>
      <x:c r="I164" s="51" t="str">
        <x:v>Not Tested</x:v>
      </x:c>
      <x:c r="J164" s="50" t="str">
        <x:v>High</x:v>
      </x:c>
      <x:c r="K164" s="52" t="str"/>
      <x:c r="L164" s="54"/>
      <x:c r="M164" s="52" t="str"/>
      <x:c r="N164" s="52" t="str"/>
    </x:row>
    <x:row r="165" ht="54" customHeight="1">
      <x:c r="A165" s="50" t="str">
        <x:v>TC-160</x:v>
      </x:c>
      <x:c r="B165" s="50" t="str">
        <x:v>Penyewaan</x:v>
      </x:c>
      <x:c r="C165" s="50" t="str">
        <x:v>Functional</x:v>
      </x:c>
      <x:c r="D165" s="50" t="str">
        <x:v>Validasi field wajib pengajuan</x:v>
      </x:c>
      <x:c r="E165" s="50" t="str">
        <x:v>Data dan akun QA tersedia</x:v>
      </x:c>
      <x:c r="F165" s="50" t="str">
        <x:v>Kosongkan field wajib lalu kirim</x:v>
      </x:c>
      <x:c r="G165" s="50" t="str">
        <x:v>Form tidak dikirim dan pesan validasi tampil</x:v>
      </x:c>
      <x:c r="H165" s="51" t="str"/>
      <x:c r="I165" s="51" t="str">
        <x:v>Not Tested</x:v>
      </x:c>
      <x:c r="J165" s="50" t="str">
        <x:v>High</x:v>
      </x:c>
      <x:c r="K165" s="52" t="str"/>
      <x:c r="L165" s="54"/>
      <x:c r="M165" s="52" t="str"/>
      <x:c r="N165" s="52" t="str"/>
    </x:row>
    <x:row r="166" ht="54" customHeight="1">
      <x:c r="A166" s="50" t="str">
        <x:v>TC-161</x:v>
      </x:c>
      <x:c r="B166" s="50" t="str">
        <x:v>Penyewaan</x:v>
      </x:c>
      <x:c r="C166" s="50" t="str">
        <x:v>Functional</x:v>
      </x:c>
      <x:c r="D166" s="50" t="str">
        <x:v>Rentang tanggal sewa valid</x:v>
      </x:c>
      <x:c r="E166" s="50" t="str">
        <x:v>Data dan akun QA tersedia</x:v>
      </x:c>
      <x:c r="F166" s="50" t="str">
        <x:v>Pilih tanggal mulai dan akhir valid</x:v>
      </x:c>
      <x:c r="G166" s="50" t="str">
        <x:v>Durasi dihitung/diterima dengan benar</x:v>
      </x:c>
      <x:c r="H166" s="51" t="str"/>
      <x:c r="I166" s="51" t="str">
        <x:v>Not Tested</x:v>
      </x:c>
      <x:c r="J166" s="50" t="str">
        <x:v>High</x:v>
      </x:c>
      <x:c r="K166" s="52" t="str"/>
      <x:c r="L166" s="54"/>
      <x:c r="M166" s="52" t="str"/>
      <x:c r="N166" s="52" t="str"/>
    </x:row>
    <x:row r="167" ht="54" customHeight="1">
      <x:c r="A167" s="50" t="str">
        <x:v>TC-162</x:v>
      </x:c>
      <x:c r="B167" s="50" t="str">
        <x:v>Penyewaan</x:v>
      </x:c>
      <x:c r="C167" s="50" t="str">
        <x:v>Functional</x:v>
      </x:c>
      <x:c r="D167" s="50" t="str">
        <x:v>Tanggal selesai sebelum mulai ditolak</x:v>
      </x:c>
      <x:c r="E167" s="50" t="str">
        <x:v>Data dan akun QA tersedia</x:v>
      </x:c>
      <x:c r="F167" s="50" t="str">
        <x:v>Pilih rentang terbalik</x:v>
      </x:c>
      <x:c r="G167" s="50" t="str">
        <x:v>Form menolak rentang tanggal</x:v>
      </x:c>
      <x:c r="H167" s="51" t="str"/>
      <x:c r="I167" s="51" t="str">
        <x:v>Not Tested</x:v>
      </x:c>
      <x:c r="J167" s="50" t="str">
        <x:v>High</x:v>
      </x:c>
      <x:c r="K167" s="52" t="str"/>
      <x:c r="L167" s="54"/>
      <x:c r="M167" s="52" t="str"/>
      <x:c r="N167" s="52" t="str"/>
    </x:row>
    <x:row r="168" ht="54" customHeight="1">
      <x:c r="A168" s="50" t="str">
        <x:v>TC-163</x:v>
      </x:c>
      <x:c r="B168" s="50" t="str">
        <x:v>Penyewaan</x:v>
      </x:c>
      <x:c r="C168" s="50" t="str">
        <x:v>Functional</x:v>
      </x:c>
      <x:c r="D168" s="50" t="str">
        <x:v>Objek yang tidak tersedia tidak dapat diajukan</x:v>
      </x:c>
      <x:c r="E168" s="50" t="str">
        <x:v>Data dan akun QA tersedia</x:v>
      </x:c>
      <x:c r="F168" s="50" t="str">
        <x:v>Buka objek berstatus tidak tersedia</x:v>
      </x:c>
      <x:c r="G168" s="50" t="str">
        <x:v>Tombol pengajuan disabled/tidak tersedia</x:v>
      </x:c>
      <x:c r="H168" s="51" t="str"/>
      <x:c r="I168" s="51" t="str">
        <x:v>Not Tested</x:v>
      </x:c>
      <x:c r="J168" s="50" t="str">
        <x:v>High</x:v>
      </x:c>
      <x:c r="K168" s="52" t="str"/>
      <x:c r="L168" s="54"/>
      <x:c r="M168" s="52" t="str"/>
      <x:c r="N168" s="52" t="str"/>
    </x:row>
    <x:row r="169" ht="54" customHeight="1">
      <x:c r="A169" s="50" t="str">
        <x:v>TC-164</x:v>
      </x:c>
      <x:c r="B169" s="50" t="str">
        <x:v>Penyewaan</x:v>
      </x:c>
      <x:c r="C169" s="50" t="str">
        <x:v>Functional</x:v>
      </x:c>
      <x:c r="D169" s="50" t="str">
        <x:v>Status pengajuan dapat dikelola admin</x:v>
      </x:c>
      <x:c r="E169" s="50" t="str">
        <x:v>Data dan akun QA tersedia</x:v>
      </x:c>
      <x:c r="F169" s="50" t="str">
        <x:v>Ubah status pengajuan QA</x:v>
      </x:c>
      <x:c r="G169" s="50" t="str">
        <x:v>Status tersimpan dan tampil konsisten</x:v>
      </x:c>
      <x:c r="H169" s="51" t="str"/>
      <x:c r="I169" s="51" t="str">
        <x:v>Not Tested</x:v>
      </x:c>
      <x:c r="J169" s="50" t="str">
        <x:v>High</x:v>
      </x:c>
      <x:c r="K169" s="52" t="str"/>
      <x:c r="L169" s="54"/>
      <x:c r="M169" s="52" t="str"/>
      <x:c r="N169" s="52" t="str"/>
    </x:row>
    <x:row r="170" ht="54" customHeight="1">
      <x:c r="A170" s="50" t="str">
        <x:v>TC-165</x:v>
      </x:c>
      <x:c r="B170" s="50" t="str">
        <x:v>Penyewaan</x:v>
      </x:c>
      <x:c r="C170" s="50" t="str">
        <x:v>Functional</x:v>
      </x:c>
      <x:c r="D170" s="50" t="str">
        <x:v>Filter status penyewaan bekerja</x:v>
      </x:c>
      <x:c r="E170" s="50" t="str">
        <x:v>Data dan akun QA tersedia</x:v>
      </x:c>
      <x:c r="F170" s="50" t="str">
        <x:v>Pilih salah satu status</x:v>
      </x:c>
      <x:c r="G170" s="50" t="str">
        <x:v>Daftar sesuai status</x:v>
      </x:c>
      <x:c r="H170" s="51" t="str"/>
      <x:c r="I170" s="51" t="str">
        <x:v>Not Tested</x:v>
      </x:c>
      <x:c r="J170" s="50" t="str">
        <x:v>High</x:v>
      </x:c>
      <x:c r="K170" s="52" t="str"/>
      <x:c r="L170" s="54"/>
      <x:c r="M170" s="52" t="str"/>
      <x:c r="N170" s="52" t="str"/>
    </x:row>
    <x:row r="171" ht="54" customHeight="1">
      <x:c r="A171" s="50" t="str">
        <x:v>TC-166</x:v>
      </x:c>
      <x:c r="B171" s="50" t="str">
        <x:v>Penyewaan</x:v>
      </x:c>
      <x:c r="C171" s="50" t="str">
        <x:v>Functional</x:v>
      </x:c>
      <x:c r="D171" s="50" t="str">
        <x:v>Data penyewaan tercermin pada dashboard</x:v>
      </x:c>
      <x:c r="E171" s="50" t="str">
        <x:v>Data dan akun QA tersedia</x:v>
      </x:c>
      <x:c r="F171" s="50" t="str">
        <x:v>Buat/ubah data QA lalu buka Dashboard</x:v>
      </x:c>
      <x:c r="G171" s="50" t="str">
        <x:v>Ringkasan penyewaan diperbarui</x:v>
      </x:c>
      <x:c r="H171" s="51" t="str"/>
      <x:c r="I171" s="51" t="str">
        <x:v>Not Tested</x:v>
      </x:c>
      <x:c r="J171" s="50" t="str">
        <x:v>High</x:v>
      </x:c>
      <x:c r="K171" s="52" t="str"/>
      <x:c r="L171" s="54"/>
      <x:c r="M171" s="52" t="str"/>
      <x:c r="N171" s="52" t="str"/>
    </x:row>
    <x:row r="172" ht="54" customHeight="1">
      <x:c r="A172" s="50" t="str">
        <x:v>TC-167</x:v>
      </x:c>
      <x:c r="B172" s="50" t="str">
        <x:v>Upload</x:v>
      </x:c>
      <x:c r="C172" s="50" t="str">
        <x:v>Validation</x:v>
      </x:c>
      <x:c r="D172" s="50" t="str">
        <x:v>Upload foto JPG</x:v>
      </x:c>
      <x:c r="E172" s="50" t="str">
        <x:v>Admin sudah login dan file QA tersedia</x:v>
      </x:c>
      <x:c r="F172" s="50" t="str">
        <x:v>Unggah foto kondisi .jpg valid</x:v>
      </x:c>
      <x:c r="G172" s="50" t="str">
        <x:v>Foto diterima dan dapat ditampilkan</x:v>
      </x:c>
      <x:c r="H172" s="51" t="str"/>
      <x:c r="I172" s="51" t="str">
        <x:v>Not Tested</x:v>
      </x:c>
      <x:c r="J172" s="50" t="str">
        <x:v>High</x:v>
      </x:c>
      <x:c r="K172" s="52" t="str"/>
      <x:c r="L172" s="54"/>
      <x:c r="M172" s="52" t="str"/>
      <x:c r="N172" s="52" t="str"/>
    </x:row>
    <x:row r="173" ht="54" customHeight="1">
      <x:c r="A173" s="50" t="str">
        <x:v>TC-168</x:v>
      </x:c>
      <x:c r="B173" s="50" t="str">
        <x:v>Upload</x:v>
      </x:c>
      <x:c r="C173" s="50" t="str">
        <x:v>Validation</x:v>
      </x:c>
      <x:c r="D173" s="50" t="str">
        <x:v>Upload foto JPEG</x:v>
      </x:c>
      <x:c r="E173" s="50" t="str">
        <x:v>Admin sudah login dan file QA tersedia</x:v>
      </x:c>
      <x:c r="F173" s="50" t="str">
        <x:v>Unggah foto kondisi .jpeg valid</x:v>
      </x:c>
      <x:c r="G173" s="50" t="str">
        <x:v>Foto diterima dan dapat ditampilkan</x:v>
      </x:c>
      <x:c r="H173" s="51" t="str"/>
      <x:c r="I173" s="51" t="str">
        <x:v>Not Tested</x:v>
      </x:c>
      <x:c r="J173" s="50" t="str">
        <x:v>High</x:v>
      </x:c>
      <x:c r="K173" s="52" t="str"/>
      <x:c r="L173" s="54"/>
      <x:c r="M173" s="52" t="str"/>
      <x:c r="N173" s="52" t="str"/>
    </x:row>
    <x:row r="174" ht="54" customHeight="1">
      <x:c r="A174" s="50" t="str">
        <x:v>TC-169</x:v>
      </x:c>
      <x:c r="B174" s="50" t="str">
        <x:v>Upload</x:v>
      </x:c>
      <x:c r="C174" s="50" t="str">
        <x:v>Validation</x:v>
      </x:c>
      <x:c r="D174" s="50" t="str">
        <x:v>Upload foto PNG</x:v>
      </x:c>
      <x:c r="E174" s="50" t="str">
        <x:v>Admin sudah login dan file QA tersedia</x:v>
      </x:c>
      <x:c r="F174" s="50" t="str">
        <x:v>Unggah foto kondisi .png valid</x:v>
      </x:c>
      <x:c r="G174" s="50" t="str">
        <x:v>Foto diterima dan dapat ditampilkan</x:v>
      </x:c>
      <x:c r="H174" s="51" t="str"/>
      <x:c r="I174" s="51" t="str">
        <x:v>Not Tested</x:v>
      </x:c>
      <x:c r="J174" s="50" t="str">
        <x:v>High</x:v>
      </x:c>
      <x:c r="K174" s="52" t="str"/>
      <x:c r="L174" s="54"/>
      <x:c r="M174" s="52" t="str"/>
      <x:c r="N174" s="52" t="str"/>
    </x:row>
    <x:row r="175" ht="54" customHeight="1">
      <x:c r="A175" s="50" t="str">
        <x:v>TC-170</x:v>
      </x:c>
      <x:c r="B175" s="50" t="str">
        <x:v>Upload</x:v>
      </x:c>
      <x:c r="C175" s="50" t="str">
        <x:v>Validation</x:v>
      </x:c>
      <x:c r="D175" s="50" t="str">
        <x:v>Upload foto WebP</x:v>
      </x:c>
      <x:c r="E175" s="50" t="str">
        <x:v>Admin sudah login dan file QA tersedia</x:v>
      </x:c>
      <x:c r="F175" s="50" t="str">
        <x:v>Unggah foto kondisi .webp valid</x:v>
      </x:c>
      <x:c r="G175" s="50" t="str">
        <x:v>Foto diterima dan dapat ditampilkan</x:v>
      </x:c>
      <x:c r="H175" s="51" t="str"/>
      <x:c r="I175" s="51" t="str">
        <x:v>Not Tested</x:v>
      </x:c>
      <x:c r="J175" s="50" t="str">
        <x:v>High</x:v>
      </x:c>
      <x:c r="K175" s="52" t="str"/>
      <x:c r="L175" s="54"/>
      <x:c r="M175" s="52" t="str"/>
      <x:c r="N175" s="52" t="str"/>
    </x:row>
    <x:row r="176" ht="54" customHeight="1">
      <x:c r="A176" s="50" t="str">
        <x:v>TC-171</x:v>
      </x:c>
      <x:c r="B176" s="50" t="str">
        <x:v>Upload</x:v>
      </x:c>
      <x:c r="C176" s="50" t="str">
        <x:v>Validation</x:v>
      </x:c>
      <x:c r="D176" s="50" t="str">
        <x:v>Ekstensi gambar palsu ditolak</x:v>
      </x:c>
      <x:c r="E176" s="50" t="str">
        <x:v>Admin sudah login dan file QA tersedia</x:v>
      </x:c>
      <x:c r="F176" s="50" t="str">
        <x:v>Ubah nama file non-gambar menjadi .jpg lalu unggah</x:v>
      </x:c>
      <x:c r="G176" s="50" t="str">
        <x:v>Validasi isi/MIME menolak file</x:v>
      </x:c>
      <x:c r="H176" s="51" t="str"/>
      <x:c r="I176" s="51" t="str">
        <x:v>Not Tested</x:v>
      </x:c>
      <x:c r="J176" s="50" t="str">
        <x:v>High</x:v>
      </x:c>
      <x:c r="K176" s="52" t="str"/>
      <x:c r="L176" s="54"/>
      <x:c r="M176" s="52" t="str"/>
      <x:c r="N176" s="52" t="str"/>
    </x:row>
    <x:row r="177" ht="54" customHeight="1">
      <x:c r="A177" s="50" t="str">
        <x:v>TC-172</x:v>
      </x:c>
      <x:c r="B177" s="50" t="str">
        <x:v>Upload</x:v>
      </x:c>
      <x:c r="C177" s="50" t="str">
        <x:v>Validation</x:v>
      </x:c>
      <x:c r="D177" s="50" t="str">
        <x:v>File melebihi batas ukuran ditolak</x:v>
      </x:c>
      <x:c r="E177" s="50" t="str">
        <x:v>Admin sudah login dan file QA tersedia</x:v>
      </x:c>
      <x:c r="F177" s="50" t="str">
        <x:v>Unggah file lebih besar dari batas</x:v>
      </x:c>
      <x:c r="G177" s="50" t="str">
        <x:v>Pesan ukuran tampil tanpa membuat server gagal</x:v>
      </x:c>
      <x:c r="H177" s="51" t="str"/>
      <x:c r="I177" s="51" t="str">
        <x:v>Not Tested</x:v>
      </x:c>
      <x:c r="J177" s="50" t="str">
        <x:v>High</x:v>
      </x:c>
      <x:c r="K177" s="52" t="str"/>
      <x:c r="L177" s="54"/>
      <x:c r="M177" s="52" t="str"/>
      <x:c r="N177" s="52" t="str"/>
    </x:row>
    <x:row r="178" ht="54" customHeight="1">
      <x:c r="A178" s="50" t="str">
        <x:v>TC-173</x:v>
      </x:c>
      <x:c r="B178" s="50" t="str">
        <x:v>Upload</x:v>
      </x:c>
      <x:c r="C178" s="50" t="str">
        <x:v>Validation</x:v>
      </x:c>
      <x:c r="D178" s="50" t="str">
        <x:v>Nama file karakter khusus aman</x:v>
      </x:c>
      <x:c r="E178" s="50" t="str">
        <x:v>Admin sudah login dan file QA tersedia</x:v>
      </x:c>
      <x:c r="F178" s="50" t="str">
        <x:v>Unggah file dengan spasi dan karakter khusus</x:v>
      </x:c>
      <x:c r="G178" s="50" t="str">
        <x:v>Nama ditangani aman dan file dapat digunakan</x:v>
      </x:c>
      <x:c r="H178" s="51" t="str"/>
      <x:c r="I178" s="51" t="str">
        <x:v>Not Tested</x:v>
      </x:c>
      <x:c r="J178" s="50" t="str">
        <x:v>High</x:v>
      </x:c>
      <x:c r="K178" s="52" t="str"/>
      <x:c r="L178" s="54"/>
      <x:c r="M178" s="52" t="str"/>
      <x:c r="N178" s="52" t="str"/>
    </x:row>
    <x:row r="179" ht="54" customHeight="1">
      <x:c r="A179" s="50" t="str">
        <x:v>TC-174</x:v>
      </x:c>
      <x:c r="B179" s="50" t="str">
        <x:v>Upload</x:v>
      </x:c>
      <x:c r="C179" s="50" t="str">
        <x:v>Validation</x:v>
      </x:c>
      <x:c r="D179" s="50" t="str">
        <x:v>Upload yang terputus dapat dipulihkan</x:v>
      </x:c>
      <x:c r="E179" s="50" t="str">
        <x:v>Admin sudah login dan file QA tersedia</x:v>
      </x:c>
      <x:c r="F179" s="50" t="str">
        <x:v>Batalkan koneksi saat upload</x:v>
      </x:c>
      <x:c r="G179" s="50" t="str">
        <x:v>Pesan gagal tampil dan form dapat dicoba ulang</x:v>
      </x:c>
      <x:c r="H179" s="51" t="str"/>
      <x:c r="I179" s="51" t="str">
        <x:v>Not Tested</x:v>
      </x:c>
      <x:c r="J179" s="50" t="str">
        <x:v>High</x:v>
      </x:c>
      <x:c r="K179" s="52" t="str"/>
      <x:c r="L179" s="54"/>
      <x:c r="M179" s="52" t="str"/>
      <x:c r="N179" s="52" t="str"/>
    </x:row>
    <x:row r="180" ht="54" customHeight="1">
      <x:c r="A180" s="50" t="str">
        <x:v>TC-175</x:v>
      </x:c>
      <x:c r="B180" s="50" t="str">
        <x:v>UX &amp; Responsif</x:v>
      </x:c>
      <x:c r="C180" s="50" t="str">
        <x:v>Usability</x:v>
      </x:c>
      <x:c r="D180" s="50" t="str">
        <x:v>Layout desktop 1920px</x:v>
      </x:c>
      <x:c r="E180" s="50" t="str">
        <x:v>Aplikasi dapat diakses</x:v>
      </x:c>
      <x:c r="F180" s="50" t="str">
        <x:v>Uji viewport 1920x1080</x:v>
      </x:c>
      <x:c r="G180" s="50" t="str">
        <x:v>Tidak ada elemen terpotong/bertumpuk</x:v>
      </x:c>
      <x:c r="H180" s="51" t="str"/>
      <x:c r="I180" s="51" t="str">
        <x:v>Not Tested</x:v>
      </x:c>
      <x:c r="J180" s="50" t="str">
        <x:v>Medium</x:v>
      </x:c>
      <x:c r="K180" s="52" t="str"/>
      <x:c r="L180" s="54"/>
      <x:c r="M180" s="52" t="str"/>
      <x:c r="N180" s="52" t="str"/>
    </x:row>
    <x:row r="181" ht="54" customHeight="1">
      <x:c r="A181" s="50" t="str">
        <x:v>TC-176</x:v>
      </x:c>
      <x:c r="B181" s="50" t="str">
        <x:v>UX &amp; Responsif</x:v>
      </x:c>
      <x:c r="C181" s="50" t="str">
        <x:v>Usability</x:v>
      </x:c>
      <x:c r="D181" s="50" t="str">
        <x:v>Layout laptop 1366px</x:v>
      </x:c>
      <x:c r="E181" s="50" t="str">
        <x:v>Aplikasi dapat diakses</x:v>
      </x:c>
      <x:c r="F181" s="50" t="str">
        <x:v>Uji viewport 1366x768</x:v>
      </x:c>
      <x:c r="G181" s="50" t="str">
        <x:v>Konten utama tetap muat tanpa scroll horizontal</x:v>
      </x:c>
      <x:c r="H181" s="51" t="str"/>
      <x:c r="I181" s="51" t="str">
        <x:v>Not Tested</x:v>
      </x:c>
      <x:c r="J181" s="50" t="str">
        <x:v>Medium</x:v>
      </x:c>
      <x:c r="K181" s="52" t="str"/>
      <x:c r="L181" s="54"/>
      <x:c r="M181" s="52" t="str"/>
      <x:c r="N181" s="52" t="str"/>
    </x:row>
    <x:row r="182" ht="54" customHeight="1">
      <x:c r="A182" s="50" t="str">
        <x:v>TC-177</x:v>
      </x:c>
      <x:c r="B182" s="50" t="str">
        <x:v>UX &amp; Responsif</x:v>
      </x:c>
      <x:c r="C182" s="50" t="str">
        <x:v>Usability</x:v>
      </x:c>
      <x:c r="D182" s="50" t="str">
        <x:v>Layout tablet</x:v>
      </x:c>
      <x:c r="E182" s="50" t="str">
        <x:v>Aplikasi dapat diakses</x:v>
      </x:c>
      <x:c r="F182" s="50" t="str">
        <x:v>Uji viewport sekitar 768px</x:v>
      </x:c>
      <x:c r="G182" s="50" t="str">
        <x:v>Navigasi dan tabel tetap dapat digunakan</x:v>
      </x:c>
      <x:c r="H182" s="51" t="str"/>
      <x:c r="I182" s="51" t="str">
        <x:v>Not Tested</x:v>
      </x:c>
      <x:c r="J182" s="50" t="str">
        <x:v>Medium</x:v>
      </x:c>
      <x:c r="K182" s="52" t="str"/>
      <x:c r="L182" s="54"/>
      <x:c r="M182" s="52" t="str"/>
      <x:c r="N182" s="52" t="str"/>
    </x:row>
    <x:row r="183" ht="54" customHeight="1">
      <x:c r="A183" s="50" t="str">
        <x:v>TC-178</x:v>
      </x:c>
      <x:c r="B183" s="50" t="str">
        <x:v>UX &amp; Responsif</x:v>
      </x:c>
      <x:c r="C183" s="50" t="str">
        <x:v>Usability</x:v>
      </x:c>
      <x:c r="D183" s="50" t="str">
        <x:v>Layout ponsel</x:v>
      </x:c>
      <x:c r="E183" s="50" t="str">
        <x:v>Aplikasi dapat diakses</x:v>
      </x:c>
      <x:c r="F183" s="50" t="str">
        <x:v>Uji viewport sekitar 390px</x:v>
      </x:c>
      <x:c r="G183" s="50" t="str">
        <x:v>Landing dan fungsi publik tetap dapat digunakan</x:v>
      </x:c>
      <x:c r="H183" s="51" t="str"/>
      <x:c r="I183" s="51" t="str">
        <x:v>Not Tested</x:v>
      </x:c>
      <x:c r="J183" s="50" t="str">
        <x:v>Medium</x:v>
      </x:c>
      <x:c r="K183" s="52" t="str"/>
      <x:c r="L183" s="54"/>
      <x:c r="M183" s="52" t="str"/>
      <x:c r="N183" s="52" t="str"/>
    </x:row>
    <x:row r="184" ht="54" customHeight="1">
      <x:c r="A184" s="50" t="str">
        <x:v>TC-179</x:v>
      </x:c>
      <x:c r="B184" s="50" t="str">
        <x:v>UX &amp; Responsif</x:v>
      </x:c>
      <x:c r="C184" s="50" t="str">
        <x:v>Usability</x:v>
      </x:c>
      <x:c r="D184" s="50" t="str">
        <x:v>Navigasi keyboard</x:v>
      </x:c>
      <x:c r="E184" s="50" t="str">
        <x:v>Aplikasi dapat diakses</x:v>
      </x:c>
      <x:c r="F184" s="50" t="str">
        <x:v>Gunakan Tab, Shift+Tab, Enter, dan Escape</x:v>
      </x:c>
      <x:c r="G184" s="50" t="str">
        <x:v>Fokus terlihat dan urutan navigasi logis</x:v>
      </x:c>
      <x:c r="H184" s="51" t="str"/>
      <x:c r="I184" s="51" t="str">
        <x:v>Not Tested</x:v>
      </x:c>
      <x:c r="J184" s="50" t="str">
        <x:v>Medium</x:v>
      </x:c>
      <x:c r="K184" s="52" t="str"/>
      <x:c r="L184" s="54"/>
      <x:c r="M184" s="52" t="str"/>
      <x:c r="N184" s="52" t="str"/>
    </x:row>
    <x:row r="185" ht="54" customHeight="1">
      <x:c r="A185" s="50" t="str">
        <x:v>TC-180</x:v>
      </x:c>
      <x:c r="B185" s="50" t="str">
        <x:v>UX &amp; Responsif</x:v>
      </x:c>
      <x:c r="C185" s="50" t="str">
        <x:v>Usability</x:v>
      </x:c>
      <x:c r="D185" s="50" t="str">
        <x:v>Kontras teks</x:v>
      </x:c>
      <x:c r="E185" s="50" t="str">
        <x:v>Aplikasi dapat diakses</x:v>
      </x:c>
      <x:c r="F185" s="50" t="str">
        <x:v>Periksa light dan dark mode</x:v>
      </x:c>
      <x:c r="G185" s="50" t="str">
        <x:v>Teks utama dapat dibaca pada semua container</x:v>
      </x:c>
      <x:c r="H185" s="51" t="str"/>
      <x:c r="I185" s="51" t="str">
        <x:v>Not Tested</x:v>
      </x:c>
      <x:c r="J185" s="50" t="str">
        <x:v>Medium</x:v>
      </x:c>
      <x:c r="K185" s="52" t="str"/>
      <x:c r="L185" s="54"/>
      <x:c r="M185" s="52" t="str"/>
      <x:c r="N185" s="52" t="str"/>
    </x:row>
    <x:row r="186" ht="54" customHeight="1">
      <x:c r="A186" s="50" t="str">
        <x:v>TC-181</x:v>
      </x:c>
      <x:c r="B186" s="50" t="str">
        <x:v>UX &amp; Responsif</x:v>
      </x:c>
      <x:c r="C186" s="50" t="str">
        <x:v>Usability</x:v>
      </x:c>
      <x:c r="D186" s="50" t="str">
        <x:v>Label form terkait dengan input</x:v>
      </x:c>
      <x:c r="E186" s="50" t="str">
        <x:v>Aplikasi dapat diakses</x:v>
      </x:c>
      <x:c r="F186" s="50" t="str">
        <x:v>Klik label dan gunakan pembaca struktur aksesibilitas</x:v>
      </x:c>
      <x:c r="G186" s="50" t="str">
        <x:v>Label menjelaskan input yang benar</x:v>
      </x:c>
      <x:c r="H186" s="51" t="str"/>
      <x:c r="I186" s="51" t="str">
        <x:v>Not Tested</x:v>
      </x:c>
      <x:c r="J186" s="50" t="str">
        <x:v>Medium</x:v>
      </x:c>
      <x:c r="K186" s="52" t="str"/>
      <x:c r="L186" s="54"/>
      <x:c r="M186" s="52" t="str"/>
      <x:c r="N186" s="52" t="str"/>
    </x:row>
    <x:row r="187" ht="54" customHeight="1">
      <x:c r="A187" s="50" t="str">
        <x:v>TC-182</x:v>
      </x:c>
      <x:c r="B187" s="50" t="str">
        <x:v>UX &amp; Responsif</x:v>
      </x:c>
      <x:c r="C187" s="50" t="str">
        <x:v>Usability</x:v>
      </x:c>
      <x:c r="D187" s="50" t="str">
        <x:v>Loading state mencegah submit ganda</x:v>
      </x:c>
      <x:c r="E187" s="50" t="str">
        <x:v>Aplikasi dapat diakses</x:v>
      </x:c>
      <x:c r="F187" s="50" t="str">
        <x:v>Simpan form pada koneksi lambat</x:v>
      </x:c>
      <x:c r="G187" s="50" t="str">
        <x:v>Indikator loading tampil dan aksi tidak berulang</x:v>
      </x:c>
      <x:c r="H187" s="51" t="str"/>
      <x:c r="I187" s="51" t="str">
        <x:v>Not Tested</x:v>
      </x:c>
      <x:c r="J187" s="50" t="str">
        <x:v>Medium</x:v>
      </x:c>
      <x:c r="K187" s="52" t="str"/>
      <x:c r="L187" s="54"/>
      <x:c r="M187" s="52" t="str"/>
      <x:c r="N187" s="52" t="str"/>
    </x:row>
    <x:row r="188" ht="54" customHeight="1">
      <x:c r="A188" s="50" t="str">
        <x:v>TC-183</x:v>
      </x:c>
      <x:c r="B188" s="50" t="str">
        <x:v>UX &amp; Responsif</x:v>
      </x:c>
      <x:c r="C188" s="50" t="str">
        <x:v>Usability</x:v>
      </x:c>
      <x:c r="D188" s="50" t="str">
        <x:v>Error state dapat dipahami</x:v>
      </x:c>
      <x:c r="E188" s="50" t="str">
        <x:v>Aplikasi dapat diakses</x:v>
      </x:c>
      <x:c r="F188" s="50" t="str">
        <x:v>Picu error validasi/server yang aman</x:v>
      </x:c>
      <x:c r="G188" s="50" t="str">
        <x:v>Pesan menjelaskan masalah dan langkah berikutnya</x:v>
      </x:c>
      <x:c r="H188" s="51" t="str"/>
      <x:c r="I188" s="51" t="str">
        <x:v>Not Tested</x:v>
      </x:c>
      <x:c r="J188" s="50" t="str">
        <x:v>Medium</x:v>
      </x:c>
      <x:c r="K188" s="52" t="str"/>
      <x:c r="L188" s="54"/>
      <x:c r="M188" s="52" t="str"/>
      <x:c r="N188" s="52" t="str"/>
    </x:row>
    <x:row r="189" ht="54" customHeight="1">
      <x:c r="A189" s="50" t="str">
        <x:v>TC-184</x:v>
      </x:c>
      <x:c r="B189" s="50" t="str">
        <x:v>UX &amp; Responsif</x:v>
      </x:c>
      <x:c r="C189" s="50" t="str">
        <x:v>Usability</x:v>
      </x:c>
      <x:c r="D189" s="50" t="str">
        <x:v>Animasi menghormati kenyamanan pengguna</x:v>
      </x:c>
      <x:c r="E189" s="50" t="str">
        <x:v>Aplikasi dapat diakses</x:v>
      </x:c>
      <x:c r="F189" s="50" t="str">
        <x:v>Aktifkan prefers-reduced-motion</x:v>
      </x:c>
      <x:c r="G189" s="50" t="str">
        <x:v>Animasi dikurangi atau tidak menghambat</x:v>
      </x:c>
      <x:c r="H189" s="51" t="str"/>
      <x:c r="I189" s="51" t="str">
        <x:v>Not Tested</x:v>
      </x:c>
      <x:c r="J189" s="50" t="str">
        <x:v>Medium</x:v>
      </x:c>
      <x:c r="K189" s="52" t="str"/>
      <x:c r="L189" s="54"/>
      <x:c r="M189" s="52" t="str"/>
      <x:c r="N189" s="52" t="str"/>
    </x:row>
    <x:row r="190" ht="54" customHeight="1">
      <x:c r="A190" s="50" t="str">
        <x:v>TC-185</x:v>
      </x:c>
      <x:c r="B190" s="50" t="str">
        <x:v>API &amp; Security</x:v>
      </x:c>
      <x:c r="C190" s="50" t="str">
        <x:v>Security</x:v>
      </x:c>
      <x:c r="D190" s="50" t="str">
        <x:v>Endpoint tidak dikenal menghasilkan 404</x:v>
      </x:c>
      <x:c r="E190" s="50" t="str">
        <x:v>Gunakan akun/data QA dan request non-destruktif</x:v>
      </x:c>
      <x:c r="F190" s="50" t="str">
        <x:v>Panggil /api/route-yang-tidak-ada</x:v>
      </x:c>
      <x:c r="G190" s="50" t="str">
        <x:v>Respons 404 tanpa stack trace</x:v>
      </x:c>
      <x:c r="H190" s="51" t="str"/>
      <x:c r="I190" s="51" t="str">
        <x:v>Not Tested</x:v>
      </x:c>
      <x:c r="J190" s="50" t="str">
        <x:v>Medium</x:v>
      </x:c>
      <x:c r="K190" s="52" t="str"/>
      <x:c r="L190" s="54"/>
      <x:c r="M190" s="52" t="str"/>
      <x:c r="N190" s="52" t="str"/>
    </x:row>
    <x:row r="191" ht="54" customHeight="1">
      <x:c r="A191" s="50" t="str">
        <x:v>TC-186</x:v>
      </x:c>
      <x:c r="B191" s="50" t="str">
        <x:v>API &amp; Security</x:v>
      </x:c>
      <x:c r="C191" s="50" t="str">
        <x:v>Security</x:v>
      </x:c>
      <x:c r="D191" s="50" t="str">
        <x:v>Input salah menghasilkan 400 bukan 500</x:v>
      </x:c>
      <x:c r="E191" s="50" t="str">
        <x:v>Gunakan akun/data QA dan request non-destruktif</x:v>
      </x:c>
      <x:c r="F191" s="50" t="str">
        <x:v>Kirim payload invalid ke endpoint QA</x:v>
      </x:c>
      <x:c r="G191" s="50" t="str">
        <x:v>Respons validasi 4xx yang konsisten</x:v>
      </x:c>
      <x:c r="H191" s="51" t="str"/>
      <x:c r="I191" s="51" t="str">
        <x:v>Not Tested</x:v>
      </x:c>
      <x:c r="J191" s="50" t="str">
        <x:v>High</x:v>
      </x:c>
      <x:c r="K191" s="52" t="str"/>
      <x:c r="L191" s="54"/>
      <x:c r="M191" s="52" t="str"/>
      <x:c r="N191" s="52" t="str"/>
    </x:row>
    <x:row r="192" ht="54" customHeight="1">
      <x:c r="A192" s="50" t="str">
        <x:v>TC-187</x:v>
      </x:c>
      <x:c r="B192" s="50" t="str">
        <x:v>API &amp; Security</x:v>
      </x:c>
      <x:c r="C192" s="50" t="str">
        <x:v>Security</x:v>
      </x:c>
      <x:c r="D192" s="50" t="str">
        <x:v>Respons error tidak membocorkan SQL</x:v>
      </x:c>
      <x:c r="E192" s="50" t="str">
        <x:v>Gunakan akun/data QA dan request non-destruktif</x:v>
      </x:c>
      <x:c r="F192" s="50" t="str">
        <x:v>Picu error validasi</x:v>
      </x:c>
      <x:c r="G192" s="50" t="str">
        <x:v>Tidak ada query, password, atau detail database</x:v>
      </x:c>
      <x:c r="H192" s="51" t="str"/>
      <x:c r="I192" s="51" t="str">
        <x:v>Not Tested</x:v>
      </x:c>
      <x:c r="J192" s="50" t="str">
        <x:v>Critical</x:v>
      </x:c>
      <x:c r="K192" s="52" t="str"/>
      <x:c r="L192" s="54"/>
      <x:c r="M192" s="52" t="str"/>
      <x:c r="N192" s="52" t="str"/>
    </x:row>
    <x:row r="193" ht="54" customHeight="1">
      <x:c r="A193" s="50" t="str">
        <x:v>TC-188</x:v>
      </x:c>
      <x:c r="B193" s="50" t="str">
        <x:v>API &amp; Security</x:v>
      </x:c>
      <x:c r="C193" s="50" t="str">
        <x:v>Security</x:v>
      </x:c>
      <x:c r="D193" s="50" t="str">
        <x:v>CORS menerima domain resmi</x:v>
      </x:c>
      <x:c r="E193" s="50" t="str">
        <x:v>Gunakan akun/data QA dan request non-destruktif</x:v>
      </x:c>
      <x:c r="F193" s="50" t="str">
        <x:v>Kirim Origin https://bhumisatya.web.id</x:v>
      </x:c>
      <x:c r="G193" s="50" t="str">
        <x:v>Access-Control-Allow-Origin sesuai domain</x:v>
      </x:c>
      <x:c r="H193" s="51" t="str"/>
      <x:c r="I193" s="51" t="str">
        <x:v>Not Tested</x:v>
      </x:c>
      <x:c r="J193" s="50" t="str">
        <x:v>High</x:v>
      </x:c>
      <x:c r="K193" s="52" t="str"/>
      <x:c r="L193" s="54"/>
      <x:c r="M193" s="52" t="str"/>
      <x:c r="N193" s="52" t="str"/>
    </x:row>
    <x:row r="194" ht="54" customHeight="1">
      <x:c r="A194" s="50" t="str">
        <x:v>TC-189</x:v>
      </x:c>
      <x:c r="B194" s="50" t="str">
        <x:v>API &amp; Security</x:v>
      </x:c>
      <x:c r="C194" s="50" t="str">
        <x:v>Security</x:v>
      </x:c>
      <x:c r="D194" s="50" t="str">
        <x:v>CORS menolak origin asing</x:v>
      </x:c>
      <x:c r="E194" s="50" t="str">
        <x:v>Gunakan akun/data QA dan request non-destruktif</x:v>
      </x:c>
      <x:c r="F194" s="50" t="str">
        <x:v>Kirim Origin dari domain tidak dikenal</x:v>
      </x:c>
      <x:c r="G194" s="50" t="str">
        <x:v>Header izin tidak diberikan/request ditolak</x:v>
      </x:c>
      <x:c r="H194" s="51" t="str"/>
      <x:c r="I194" s="51" t="str">
        <x:v>Not Tested</x:v>
      </x:c>
      <x:c r="J194" s="50" t="str">
        <x:v>High</x:v>
      </x:c>
      <x:c r="K194" s="52" t="str"/>
      <x:c r="L194" s="54"/>
      <x:c r="M194" s="52" t="str"/>
      <x:c r="N194" s="52" t="str"/>
    </x:row>
    <x:row r="195" ht="54" customHeight="1">
      <x:c r="A195" s="50" t="str">
        <x:v>TC-190</x:v>
      </x:c>
      <x:c r="B195" s="50" t="str">
        <x:v>API &amp; Security</x:v>
      </x:c>
      <x:c r="C195" s="50" t="str">
        <x:v>Security</x:v>
      </x:c>
      <x:c r="D195" s="50" t="str">
        <x:v>Security header tersedia</x:v>
      </x:c>
      <x:c r="E195" s="50" t="str">
        <x:v>Gunakan akun/data QA dan request non-destruktif</x:v>
      </x:c>
      <x:c r="F195" s="50" t="str">
        <x:v>Periksa response header</x:v>
      </x:c>
      <x:c r="G195" s="50" t="str">
        <x:v>Header nosniff dan kebijakan referrer tersedia</x:v>
      </x:c>
      <x:c r="H195" s="51" t="str"/>
      <x:c r="I195" s="51" t="str">
        <x:v>Not Tested</x:v>
      </x:c>
      <x:c r="J195" s="50" t="str">
        <x:v>Medium</x:v>
      </x:c>
      <x:c r="K195" s="52" t="str"/>
      <x:c r="L195" s="54"/>
      <x:c r="M195" s="52" t="str"/>
      <x:c r="N195" s="52" t="str"/>
    </x:row>
    <x:row r="196" ht="54" customHeight="1">
      <x:c r="A196" s="50" t="str">
        <x:v>TC-191</x:v>
      </x:c>
      <x:c r="B196" s="50" t="str">
        <x:v>API &amp; Security</x:v>
      </x:c>
      <x:c r="C196" s="50" t="str">
        <x:v>Security</x:v>
      </x:c>
      <x:c r="D196" s="50" t="str">
        <x:v>Payload script ditampilkan aman</x:v>
      </x:c>
      <x:c r="E196" s="50" t="str">
        <x:v>Gunakan akun/data QA dan request non-destruktif</x:v>
      </x:c>
      <x:c r="F196" s="50" t="str">
        <x:v>Masukkan &lt;script&gt;alert(1)&lt;/script&gt; pada data QA</x:v>
      </x:c>
      <x:c r="G196" s="50" t="str">
        <x:v>Script tidak dieksekusi</x:v>
      </x:c>
      <x:c r="H196" s="51" t="str"/>
      <x:c r="I196" s="51" t="str">
        <x:v>Not Tested</x:v>
      </x:c>
      <x:c r="J196" s="50" t="str">
        <x:v>Critical</x:v>
      </x:c>
      <x:c r="K196" s="52" t="str"/>
      <x:c r="L196" s="54"/>
      <x:c r="M196" s="52" t="str"/>
      <x:c r="N196" s="52" t="str"/>
    </x:row>
    <x:row r="197" ht="54" customHeight="1">
      <x:c r="A197" s="50" t="str">
        <x:v>TC-192</x:v>
      </x:c>
      <x:c r="B197" s="50" t="str">
        <x:v>API &amp; Security</x:v>
      </x:c>
      <x:c r="C197" s="50" t="str">
        <x:v>Security</x:v>
      </x:c>
      <x:c r="D197" s="50" t="str">
        <x:v>Payload SQL sederhana tidak merusak query</x:v>
      </x:c>
      <x:c r="E197" s="50" t="str">
        <x:v>Gunakan akun/data QA dan request non-destruktif</x:v>
      </x:c>
      <x:c r="F197" s="50" t="str">
        <x:v>Masukkan karakter kutip pada pencarian/form QA</x:v>
      </x:c>
      <x:c r="G197" s="50" t="str">
        <x:v>Request ditangani sebagai data</x:v>
      </x:c>
      <x:c r="H197" s="51" t="str"/>
      <x:c r="I197" s="51" t="str">
        <x:v>Not Tested</x:v>
      </x:c>
      <x:c r="J197" s="50" t="str">
        <x:v>Critical</x:v>
      </x:c>
      <x:c r="K197" s="52" t="str"/>
      <x:c r="L197" s="54"/>
      <x:c r="M197" s="52" t="str"/>
      <x:c r="N197" s="52" t="str"/>
    </x:row>
    <x:row r="198" ht="54" customHeight="1">
      <x:c r="A198" s="50" t="str">
        <x:v>TC-193</x:v>
      </x:c>
      <x:c r="B198" s="50" t="str">
        <x:v>API &amp; Security</x:v>
      </x:c>
      <x:c r="C198" s="50" t="str">
        <x:v>Security</x:v>
      </x:c>
      <x:c r="D198" s="50" t="str">
        <x:v>Mass assignment tidak diperbolehkan</x:v>
      </x:c>
      <x:c r="E198" s="50" t="str">
        <x:v>Gunakan akun/data QA dan request non-destruktif</x:v>
      </x:c>
      <x:c r="F198" s="50" t="str">
        <x:v>Tambahkan field role/status sensitif pada payload</x:v>
      </x:c>
      <x:c r="G198" s="50" t="str">
        <x:v>Backend mengabaikan/menolak field tidak sah</x:v>
      </x:c>
      <x:c r="H198" s="51" t="str"/>
      <x:c r="I198" s="51" t="str">
        <x:v>Not Tested</x:v>
      </x:c>
      <x:c r="J198" s="50" t="str">
        <x:v>Critical</x:v>
      </x:c>
      <x:c r="K198" s="52" t="str"/>
      <x:c r="L198" s="54"/>
      <x:c r="M198" s="52" t="str"/>
      <x:c r="N198" s="52" t="str"/>
    </x:row>
    <x:row r="199" ht="54" customHeight="1">
      <x:c r="A199" s="50" t="str">
        <x:v>TC-194</x:v>
      </x:c>
      <x:c r="B199" s="50" t="str">
        <x:v>API &amp; Security</x:v>
      </x:c>
      <x:c r="C199" s="50" t="str">
        <x:v>Security</x:v>
      </x:c>
      <x:c r="D199" s="50" t="str">
        <x:v>Batas login berulang</x:v>
      </x:c>
      <x:c r="E199" s="50" t="str">
        <x:v>Gunakan akun/data QA dan request non-destruktif</x:v>
      </x:c>
      <x:c r="F199" s="50" t="str">
        <x:v>Kirim beberapa login salah secara terkendali</x:v>
      </x:c>
      <x:c r="G199" s="50" t="str">
        <x:v>Sistem menerapkan pembatasan atau proteksi yang wajar</x:v>
      </x:c>
      <x:c r="H199" s="51" t="str"/>
      <x:c r="I199" s="51" t="str">
        <x:v>Not Tested</x:v>
      </x:c>
      <x:c r="J199" s="50" t="str">
        <x:v>High</x:v>
      </x:c>
      <x:c r="K199" s="52" t="str"/>
      <x:c r="L199" s="54"/>
      <x:c r="M199" s="52" t="str"/>
      <x:c r="N199" s="52" t="str"/>
    </x:row>
    <x:row r="200" ht="54" customHeight="1">
      <x:c r="A200" s="50" t="str">
        <x:v>TC-195</x:v>
      </x:c>
      <x:c r="B200" s="50" t="str">
        <x:v>API &amp; Security</x:v>
      </x:c>
      <x:c r="C200" s="50" t="str">
        <x:v>Security</x:v>
      </x:c>
      <x:c r="D200" s="50" t="str">
        <x:v>Upload tidak dapat mengeksekusi konten aktif</x:v>
      </x:c>
      <x:c r="E200" s="50" t="str">
        <x:v>Gunakan akun/data QA dan request non-destruktif</x:v>
      </x:c>
      <x:c r="F200" s="50" t="str">
        <x:v>Unggah file uji yang tidak didukung</x:v>
      </x:c>
      <x:c r="G200" s="50" t="str">
        <x:v>File ditolak dan tidak dieksekusi</x:v>
      </x:c>
      <x:c r="H200" s="51" t="str"/>
      <x:c r="I200" s="51" t="str">
        <x:v>Not Tested</x:v>
      </x:c>
      <x:c r="J200" s="50" t="str">
        <x:v>Critical</x:v>
      </x:c>
      <x:c r="K200" s="52" t="str"/>
      <x:c r="L200" s="54"/>
      <x:c r="M200" s="52" t="str"/>
      <x:c r="N200" s="52" t="str"/>
    </x:row>
    <x:row r="201" ht="54" customHeight="1">
      <x:c r="A201" s="50" t="str">
        <x:v>TC-196</x:v>
      </x:c>
      <x:c r="B201" s="50" t="str">
        <x:v>API &amp; Security</x:v>
      </x:c>
      <x:c r="C201" s="50" t="str">
        <x:v>Security</x:v>
      </x:c>
      <x:c r="D201" s="50" t="str">
        <x:v>Cookie/session menggunakan atribut aman</x:v>
      </x:c>
      <x:c r="E201" s="50" t="str">
        <x:v>Gunakan akun/data QA dan request non-destruktif</x:v>
      </x:c>
      <x:c r="F201" s="50" t="str">
        <x:v>Periksa cookie setelah login HTTPS</x:v>
      </x:c>
      <x:c r="G201" s="50" t="str">
        <x:v>Cookie sensitif Secure, HttpOnly, dan SameSite sesuai</x:v>
      </x:c>
      <x:c r="H201" s="51" t="str"/>
      <x:c r="I201" s="51" t="str">
        <x:v>Not Tested</x:v>
      </x:c>
      <x:c r="J201" s="50" t="str">
        <x:v>Critical</x:v>
      </x:c>
      <x:c r="K201" s="52" t="str"/>
      <x:c r="L201" s="54"/>
      <x:c r="M201" s="52" t="str"/>
      <x:c r="N201" s="52" t="str"/>
    </x:row>
    <x:row r="202" ht="54" customHeight="1">
      <x:c r="A202" s="50" t="str">
        <x:v>TC-197</x:v>
      </x:c>
      <x:c r="B202" s="50" t="str">
        <x:v>API &amp; Security</x:v>
      </x:c>
      <x:c r="C202" s="50" t="str">
        <x:v>Security</x:v>
      </x:c>
      <x:c r="D202" s="50" t="str">
        <x:v>Method HTTP yang tidak didukung ditolak</x:v>
      </x:c>
      <x:c r="E202" s="50" t="str">
        <x:v>Gunakan akun/data QA dan request non-destruktif</x:v>
      </x:c>
      <x:c r="F202" s="50" t="str">
        <x:v>Kirim method yang tidak tersedia</x:v>
      </x:c>
      <x:c r="G202" s="50" t="str">
        <x:v>Respons 404/405, bukan tindakan tak terduga</x:v>
      </x:c>
      <x:c r="H202" s="51" t="str"/>
      <x:c r="I202" s="51" t="str">
        <x:v>Not Tested</x:v>
      </x:c>
      <x:c r="J202" s="50" t="str">
        <x:v>Medium</x:v>
      </x:c>
      <x:c r="K202" s="52" t="str"/>
      <x:c r="L202" s="54"/>
      <x:c r="M202" s="52" t="str"/>
      <x:c r="N202" s="52" t="str"/>
    </x:row>
    <x:row r="203" ht="54" customHeight="1">
      <x:c r="A203" s="50" t="str">
        <x:v>TC-198</x:v>
      </x:c>
      <x:c r="B203" s="50" t="str">
        <x:v>API &amp; Security</x:v>
      </x:c>
      <x:c r="C203" s="50" t="str">
        <x:v>Security</x:v>
      </x:c>
      <x:c r="D203" s="50" t="str">
        <x:v>Data sensitif tidak tercatat di client</x:v>
      </x:c>
      <x:c r="E203" s="50" t="str">
        <x:v>Gunakan akun/data QA dan request non-destruktif</x:v>
      </x:c>
      <x:c r="F203" s="50" t="str">
        <x:v>Periksa console dan local storage secara manual</x:v>
      </x:c>
      <x:c r="G203" s="50" t="str">
        <x:v>Password/secret tidak tampil pada log client</x:v>
      </x:c>
      <x:c r="H203" s="51" t="str"/>
      <x:c r="I203" s="51" t="str">
        <x:v>Not Tested</x:v>
      </x:c>
      <x:c r="J203" s="50" t="str">
        <x:v>Critical</x:v>
      </x:c>
      <x:c r="K203" s="52" t="str"/>
      <x:c r="L203" s="54"/>
      <x:c r="M203" s="52" t="str"/>
      <x:c r="N203" s="52" t="str"/>
    </x:row>
    <x:row r="204" ht="54" customHeight="1">
      <x:c r="A204" s="50" t="str">
        <x:v>TC-199</x:v>
      </x:c>
      <x:c r="B204" s="50" t="str">
        <x:v>Performa &amp; Recovery</x:v>
      </x:c>
      <x:c r="C204" s="50" t="str">
        <x:v>Performance</x:v>
      </x:c>
      <x:c r="D204" s="50" t="str">
        <x:v>Landing page pada jaringan normal</x:v>
      </x:c>
      <x:c r="E204" s="50" t="str">
        <x:v>Pengujian beban berat dilakukan di staging</x:v>
      </x:c>
      <x:c r="F204" s="50" t="str">
        <x:v>Muat landing page dengan cache kosong</x:v>
      </x:c>
      <x:c r="G204" s="50" t="str">
        <x:v>Konten utama tampil dalam waktu yang dapat diterima</x:v>
      </x:c>
      <x:c r="H204" s="51" t="str"/>
      <x:c r="I204" s="51" t="str">
        <x:v>Not Tested</x:v>
      </x:c>
      <x:c r="J204" s="50" t="str">
        <x:v>Medium</x:v>
      </x:c>
      <x:c r="K204" s="52" t="str"/>
      <x:c r="L204" s="54"/>
      <x:c r="M204" s="52" t="str"/>
      <x:c r="N204" s="52" t="str"/>
    </x:row>
    <x:row r="205" ht="54" customHeight="1">
      <x:c r="A205" s="50" t="str">
        <x:v>TC-200</x:v>
      </x:c>
      <x:c r="B205" s="50" t="str">
        <x:v>Performa &amp; Recovery</x:v>
      </x:c>
      <x:c r="C205" s="50" t="str">
        <x:v>Performance</x:v>
      </x:c>
      <x:c r="D205" s="50" t="str">
        <x:v>Landing page pada jaringan lambat</x:v>
      </x:c>
      <x:c r="E205" s="50" t="str">
        <x:v>Pengujian beban berat dilakukan di staging</x:v>
      </x:c>
      <x:c r="F205" s="50" t="str">
        <x:v>Simulasikan Fast 3G</x:v>
      </x:c>
      <x:c r="G205" s="50" t="str">
        <x:v>Loading state tampil dan halaman tidak blank</x:v>
      </x:c>
      <x:c r="H205" s="51" t="str"/>
      <x:c r="I205" s="51" t="str">
        <x:v>Not Tested</x:v>
      </x:c>
      <x:c r="J205" s="50" t="str">
        <x:v>Medium</x:v>
      </x:c>
      <x:c r="K205" s="52" t="str"/>
      <x:c r="L205" s="54"/>
      <x:c r="M205" s="52" t="str"/>
      <x:c r="N205" s="52" t="str"/>
    </x:row>
    <x:row r="206" ht="54" customHeight="1">
      <x:c r="A206" s="50" t="str">
        <x:v>TC-201</x:v>
      </x:c>
      <x:c r="B206" s="50" t="str">
        <x:v>Performa &amp; Recovery</x:v>
      </x:c>
      <x:c r="C206" s="50" t="str">
        <x:v>Performance</x:v>
      </x:c>
      <x:c r="D206" s="50" t="str">
        <x:v>Peta dengan layer besar tetap responsif</x:v>
      </x:c>
      <x:c r="E206" s="50" t="str">
        <x:v>Pengujian beban berat dilakukan di staging</x:v>
      </x:c>
      <x:c r="F206" s="50" t="str">
        <x:v>Aktifkan layer besar dan lakukan pan/zoom</x:v>
      </x:c>
      <x:c r="G206" s="50" t="str">
        <x:v>Interaksi tetap dapat dilakukan tanpa crash</x:v>
      </x:c>
      <x:c r="H206" s="51" t="str"/>
      <x:c r="I206" s="51" t="str">
        <x:v>Not Tested</x:v>
      </x:c>
      <x:c r="J206" s="50" t="str">
        <x:v>Medium</x:v>
      </x:c>
      <x:c r="K206" s="52" t="str"/>
      <x:c r="L206" s="54"/>
      <x:c r="M206" s="52" t="str"/>
      <x:c r="N206" s="52" t="str"/>
    </x:row>
    <x:row r="207" ht="54" customHeight="1">
      <x:c r="A207" s="50" t="str">
        <x:v>TC-202</x:v>
      </x:c>
      <x:c r="B207" s="50" t="str">
        <x:v>Performa &amp; Recovery</x:v>
      </x:c>
      <x:c r="C207" s="50" t="str">
        <x:v>Performance</x:v>
      </x:c>
      <x:c r="D207" s="50" t="str">
        <x:v>Model 3D tidak membekukan browser</x:v>
      </x:c>
      <x:c r="E207" s="50" t="str">
        <x:v>Pengujian beban berat dilakukan di staging</x:v>
      </x:c>
      <x:c r="F207" s="50" t="str">
        <x:v>Buka model QA berukuran representatif</x:v>
      </x:c>
      <x:c r="G207" s="50" t="str">
        <x:v>Browser tetap responsif</x:v>
      </x:c>
      <x:c r="H207" s="51" t="str"/>
      <x:c r="I207" s="51" t="str">
        <x:v>Not Tested</x:v>
      </x:c>
      <x:c r="J207" s="50" t="str">
        <x:v>Medium</x:v>
      </x:c>
      <x:c r="K207" s="52" t="str"/>
      <x:c r="L207" s="54"/>
      <x:c r="M207" s="52" t="str"/>
      <x:c r="N207" s="52" t="str"/>
    </x:row>
    <x:row r="208" ht="54" customHeight="1">
      <x:c r="A208" s="50" t="str">
        <x:v>TC-203</x:v>
      </x:c>
      <x:c r="B208" s="50" t="str">
        <x:v>Performa &amp; Recovery</x:v>
      </x:c>
      <x:c r="C208" s="50" t="str">
        <x:v>Performance</x:v>
      </x:c>
      <x:c r="D208" s="50" t="str">
        <x:v>API menangani request paralel ringan</x:v>
      </x:c>
      <x:c r="E208" s="50" t="str">
        <x:v>Pengujian beban berat dilakukan di staging</x:v>
      </x:c>
      <x:c r="F208" s="50" t="str">
        <x:v>Kirim sejumlah kecil request bersamaan</x:v>
      </x:c>
      <x:c r="G208" s="50" t="str">
        <x:v>Tidak ada error 5xx dan waktu respons stabil</x:v>
      </x:c>
      <x:c r="H208" s="51" t="str"/>
      <x:c r="I208" s="51" t="str">
        <x:v>Not Tested</x:v>
      </x:c>
      <x:c r="J208" s="50" t="str">
        <x:v>Medium</x:v>
      </x:c>
      <x:c r="K208" s="52" t="str"/>
      <x:c r="L208" s="54"/>
      <x:c r="M208" s="52" t="str"/>
      <x:c r="N208" s="52" t="str"/>
    </x:row>
    <x:row r="209" ht="54" customHeight="1">
      <x:c r="A209" s="50" t="str">
        <x:v>TC-204</x:v>
      </x:c>
      <x:c r="B209" s="50" t="str">
        <x:v>Performa &amp; Recovery</x:v>
      </x:c>
      <x:c r="C209" s="50" t="str">
        <x:v>Performance</x:v>
      </x:c>
      <x:c r="D209" s="50" t="str">
        <x:v>Aplikasi pulih setelah koneksi terputus</x:v>
      </x:c>
      <x:c r="E209" s="50" t="str">
        <x:v>Pengujian beban berat dilakukan di staging</x:v>
      </x:c>
      <x:c r="F209" s="50" t="str">
        <x:v>Putuskan jaringan lalu sambungkan kembali</x:v>
      </x:c>
      <x:c r="G209" s="50" t="str">
        <x:v>Pengguna dapat mencoba ulang tanpa reload penuh yang tidak perlu</x:v>
      </x:c>
      <x:c r="H209" s="51" t="str"/>
      <x:c r="I209" s="51" t="str">
        <x:v>Not Tested</x:v>
      </x:c>
      <x:c r="J209" s="50" t="str">
        <x:v>Medium</x:v>
      </x:c>
      <x:c r="K209" s="52" t="str"/>
      <x:c r="L209" s="54"/>
      <x:c r="M209" s="52" t="str"/>
      <x:c r="N209" s="52" t="str"/>
    </x:row>
    <x:row r="210" ht="54" customHeight="1">
      <x:c r="A210" s="50" t="str">
        <x:v>TC-205</x:v>
      </x:c>
      <x:c r="B210" s="50" t="str">
        <x:v>Performa &amp; Recovery</x:v>
      </x:c>
      <x:c r="C210" s="50" t="str">
        <x:v>Performance</x:v>
      </x:c>
      <x:c r="D210" s="50" t="str">
        <x:v>Pesan ketika backend tidak tersedia</x:v>
      </x:c>
      <x:c r="E210" s="50" t="str">
        <x:v>Pengujian beban berat dilakukan di staging</x:v>
      </x:c>
      <x:c r="F210" s="50" t="str">
        <x:v>Simulasikan kegagalan API di lingkungan aman</x:v>
      </x:c>
      <x:c r="G210" s="50" t="str">
        <x:v>UI menampilkan error state, bukan halaman kosong</x:v>
      </x:c>
      <x:c r="H210" s="51" t="str"/>
      <x:c r="I210" s="51" t="str">
        <x:v>Not Tested</x:v>
      </x:c>
      <x:c r="J210" s="50" t="str">
        <x:v>Medium</x:v>
      </x:c>
      <x:c r="K210" s="52" t="str"/>
      <x:c r="L210" s="54"/>
      <x:c r="M210" s="52" t="str"/>
      <x:c r="N210" s="52" t="str"/>
    </x:row>
    <x:row r="211">
      <x:c r="H211" s="42"/>
      <x:c r="I211" s="42"/>
      <x:c r="K211" s="53"/>
      <x:c r="L211" s="55"/>
      <x:c r="M211" s="53"/>
      <x:c r="N211" s="53"/>
    </x:row>
    <x:row r="212">
      <x:c r="H212" s="42"/>
      <x:c r="I212" s="42"/>
      <x:c r="K212" s="53"/>
      <x:c r="L212" s="55"/>
      <x:c r="M212" s="53"/>
      <x:c r="N212" s="53"/>
    </x:row>
    <x:row r="213">
      <x:c r="H213" s="42"/>
      <x:c r="I213" s="42"/>
      <x:c r="K213" s="53"/>
      <x:c r="L213" s="55"/>
      <x:c r="M213" s="53"/>
      <x:c r="N213" s="53"/>
    </x:row>
    <x:row r="214">
      <x:c r="H214" s="42"/>
      <x:c r="I214" s="42"/>
      <x:c r="K214" s="53"/>
      <x:c r="L214" s="55"/>
      <x:c r="M214" s="53"/>
      <x:c r="N214" s="53"/>
    </x:row>
    <x:row r="215">
      <x:c r="H215" s="42"/>
      <x:c r="I215" s="42"/>
      <x:c r="K215" s="53"/>
      <x:c r="L215" s="55"/>
      <x:c r="M215" s="53"/>
      <x:c r="N215" s="53"/>
    </x:row>
    <x:row r="216">
      <x:c r="H216" s="42"/>
      <x:c r="I216" s="42"/>
      <x:c r="K216" s="53"/>
      <x:c r="L216" s="55"/>
      <x:c r="M216" s="53"/>
      <x:c r="N216" s="53"/>
    </x:row>
    <x:row r="217">
      <x:c r="H217" s="42"/>
      <x:c r="I217" s="42"/>
      <x:c r="K217" s="53"/>
      <x:c r="L217" s="55"/>
      <x:c r="M217" s="53"/>
      <x:c r="N217" s="53"/>
    </x:row>
    <x:row r="218">
      <x:c r="H218" s="42"/>
      <x:c r="I218" s="42"/>
      <x:c r="K218" s="53"/>
      <x:c r="L218" s="55"/>
      <x:c r="M218" s="53"/>
      <x:c r="N218" s="53"/>
    </x:row>
    <x:row r="219">
      <x:c r="H219" s="42"/>
      <x:c r="I219" s="42"/>
      <x:c r="K219" s="53"/>
      <x:c r="L219" s="55"/>
      <x:c r="M219" s="53"/>
      <x:c r="N219" s="53"/>
    </x:row>
    <x:row r="220">
      <x:c r="H220" s="42"/>
      <x:c r="I220" s="42"/>
      <x:c r="K220" s="53"/>
      <x:c r="L220" s="55"/>
      <x:c r="M220" s="53"/>
      <x:c r="N220" s="53"/>
    </x:row>
    <x:row r="221">
      <x:c r="H221" s="42"/>
      <x:c r="I221" s="42"/>
      <x:c r="K221" s="53"/>
      <x:c r="L221" s="55"/>
      <x:c r="M221" s="53"/>
      <x:c r="N221" s="53"/>
    </x:row>
    <x:row r="222">
      <x:c r="H222" s="42"/>
      <x:c r="I222" s="42"/>
      <x:c r="K222" s="53"/>
      <x:c r="L222" s="55"/>
      <x:c r="M222" s="53"/>
      <x:c r="N222" s="53"/>
    </x:row>
    <x:row r="223">
      <x:c r="H223" s="42"/>
      <x:c r="I223" s="42"/>
      <x:c r="K223" s="53"/>
      <x:c r="L223" s="55"/>
      <x:c r="M223" s="53"/>
      <x:c r="N223" s="53"/>
    </x:row>
    <x:row r="224">
      <x:c r="H224" s="42"/>
      <x:c r="I224" s="42"/>
      <x:c r="K224" s="53"/>
      <x:c r="L224" s="55"/>
      <x:c r="M224" s="53"/>
      <x:c r="N224" s="53"/>
    </x:row>
    <x:row r="225">
      <x:c r="H225" s="42"/>
      <x:c r="I225" s="42"/>
      <x:c r="K225" s="53"/>
      <x:c r="L225" s="55"/>
      <x:c r="M225" s="53"/>
      <x:c r="N225" s="53"/>
    </x:row>
    <x:row r="226">
      <x:c r="H226" s="42"/>
      <x:c r="I226" s="42"/>
      <x:c r="K226" s="53"/>
      <x:c r="L226" s="55"/>
      <x:c r="M226" s="53"/>
      <x:c r="N226" s="53"/>
    </x:row>
    <x:row r="227">
      <x:c r="H227" s="42"/>
      <x:c r="I227" s="42"/>
      <x:c r="K227" s="53"/>
      <x:c r="L227" s="55"/>
      <x:c r="M227" s="53"/>
      <x:c r="N227" s="53"/>
    </x:row>
    <x:row r="228">
      <x:c r="H228" s="42"/>
      <x:c r="I228" s="42"/>
      <x:c r="K228" s="53"/>
      <x:c r="L228" s="55"/>
      <x:c r="M228" s="53"/>
      <x:c r="N228" s="53"/>
    </x:row>
    <x:row r="229">
      <x:c r="H229" s="42"/>
      <x:c r="I229" s="42"/>
      <x:c r="K229" s="53"/>
      <x:c r="L229" s="55"/>
      <x:c r="M229" s="53"/>
      <x:c r="N229" s="53"/>
    </x:row>
    <x:row r="230">
      <x:c r="H230" s="42"/>
      <x:c r="I230" s="42"/>
      <x:c r="K230" s="53"/>
      <x:c r="L230" s="55"/>
      <x:c r="M230" s="53"/>
      <x:c r="N230" s="53"/>
    </x:row>
    <x:row r="231">
      <x:c r="H231" s="42"/>
      <x:c r="I231" s="42"/>
      <x:c r="K231" s="53"/>
      <x:c r="L231" s="55"/>
      <x:c r="M231" s="53"/>
      <x:c r="N231" s="53"/>
    </x:row>
    <x:row r="232">
      <x:c r="H232" s="42"/>
      <x:c r="I232" s="42"/>
      <x:c r="K232" s="53"/>
      <x:c r="L232" s="55"/>
      <x:c r="M232" s="53"/>
      <x:c r="N232" s="53"/>
    </x:row>
    <x:row r="233">
      <x:c r="H233" s="42"/>
      <x:c r="I233" s="42"/>
      <x:c r="K233" s="53"/>
      <x:c r="L233" s="55"/>
      <x:c r="M233" s="53"/>
      <x:c r="N233" s="53"/>
    </x:row>
    <x:row r="234">
      <x:c r="H234" s="42"/>
      <x:c r="I234" s="42"/>
      <x:c r="K234" s="53"/>
      <x:c r="L234" s="55"/>
      <x:c r="M234" s="53"/>
      <x:c r="N234" s="53"/>
    </x:row>
    <x:row r="235">
      <x:c r="H235" s="42"/>
      <x:c r="I235" s="42"/>
      <x:c r="K235" s="53"/>
      <x:c r="L235" s="55"/>
      <x:c r="M235" s="53"/>
      <x:c r="N235" s="53"/>
    </x:row>
    <x:row r="236">
      <x:c r="H236" s="42"/>
      <x:c r="I236" s="42"/>
      <x:c r="K236" s="53"/>
      <x:c r="L236" s="55"/>
      <x:c r="M236" s="53"/>
      <x:c r="N236" s="53"/>
    </x:row>
    <x:row r="237">
      <x:c r="H237" s="42"/>
      <x:c r="I237" s="42"/>
      <x:c r="K237" s="53"/>
      <x:c r="L237" s="55"/>
      <x:c r="M237" s="53"/>
      <x:c r="N237" s="53"/>
    </x:row>
    <x:row r="238">
      <x:c r="H238" s="42"/>
      <x:c r="I238" s="42"/>
      <x:c r="K238" s="53"/>
      <x:c r="L238" s="55"/>
      <x:c r="M238" s="53"/>
      <x:c r="N238" s="53"/>
    </x:row>
    <x:row r="239">
      <x:c r="H239" s="42"/>
      <x:c r="I239" s="42"/>
      <x:c r="K239" s="53"/>
      <x:c r="L239" s="55"/>
      <x:c r="M239" s="53"/>
      <x:c r="N239" s="53"/>
    </x:row>
    <x:row r="240">
      <x:c r="H240" s="42"/>
      <x:c r="I240" s="42"/>
      <x:c r="K240" s="53"/>
      <x:c r="L240" s="55"/>
      <x:c r="M240" s="53"/>
      <x:c r="N240" s="53"/>
    </x:row>
  </x:sheetData>
  <x:mergeCells>
    <x:mergeCell ref="A1:N2"/>
    <x:mergeCell ref="A3:N3"/>
  </x:mergeCells>
  <x:conditionalFormatting sqref="I6:I240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Blocked"/>
    <x:cfRule type="containsText" dxfId="3" priority="4" operator="containsText" text="Not Tested"/>
  </x:conditionalFormatting>
  <x:conditionalFormatting sqref="J6:J240">
    <x:cfRule type="containsText" dxfId="4" priority="5" operator="containsText" text="Critical"/>
    <x:cfRule type="containsText" dxfId="5" priority="6" operator="containsText" text="High"/>
    <x:cfRule type="containsText" dxfId="6" priority="7" operator="containsText" text="Medium"/>
    <x:cfRule type="containsText" dxfId="7" priority="8" operator="containsText" text="Low"/>
  </x:conditionalFormatting>
  <x:dataValidations count="3">
    <x:dataValidation type="list" sqref="C6:C240">
      <x:formula1>'Referensi'!$C$2:$C$8</x:formula1>
    </x:dataValidation>
    <x:dataValidation type="list" sqref="I6:I240">
      <x:formula1>'Referensi'!$A$2:$A$5</x:formula1>
    </x:dataValidation>
    <x:dataValidation type="list" sqref="J6:J240">
      <x:formula1>'Referensi'!$B$2:$B$5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cdd6d458141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42" hidden="0" customWidth="1"/>
    <x:col min="5" max="5" width="34" hidden="0" customWidth="1"/>
    <x:col min="6" max="6" width="34" hidden="0" customWidth="1"/>
    <x:col min="7" max="7" width="12" hidden="0" customWidth="1"/>
    <x:col min="8" max="8" width="16" hidden="0" customWidth="1"/>
    <x:col min="9" max="9" width="18" hidden="0" customWidth="1"/>
    <x:col min="10" max="10" width="16" hidden="0" customWidth="1"/>
    <x:col min="11" max="11" width="28" hidden="0" customWidth="1"/>
    <x:col min="12" max="12" width="30" hidden="0" customWidth="1"/>
  </x:cols>
  <x:sheetData>
    <x:row r="1">
      <x:c r="A1" s="40" t="str">
        <x:v>BUG REPORT — BHUMI SATYA</x:v>
      </x:c>
      <x:c r="B1" s="40" t="str">
        <x:v>BUG REPORT — BHUMI SATYA</x:v>
      </x:c>
      <x:c r="C1" s="40" t="str">
        <x:v>BUG REPORT — BHUMI SATYA</x:v>
      </x:c>
      <x:c r="D1" s="40" t="str">
        <x:v>BUG REPORT — BHUMI SATYA</x:v>
      </x:c>
      <x:c r="E1" s="40" t="str">
        <x:v>BUG REPORT — BHUMI SATYA</x:v>
      </x:c>
      <x:c r="F1" s="40" t="str">
        <x:v>BUG REPORT — BHUMI SATYA</x:v>
      </x:c>
      <x:c r="G1" s="40" t="str">
        <x:v>BUG REPORT — BHUMI SATYA</x:v>
      </x:c>
      <x:c r="H1" s="40" t="str">
        <x:v>BUG REPORT — BHUMI SATYA</x:v>
      </x:c>
      <x:c r="I1" s="40" t="str">
        <x:v>BUG REPORT — BHUMI SATYA</x:v>
      </x:c>
      <x:c r="J1" s="40" t="str">
        <x:v>BUG REPORT — BHUMI SATYA</x:v>
      </x:c>
      <x:c r="K1" s="40" t="str">
        <x:v>BUG REPORT — BHUMI SATYA</x:v>
      </x:c>
      <x:c r="L1" s="40" t="str">
        <x:v>BUG REPORT — BHUMI SATYA</x:v>
      </x:c>
    </x:row>
    <x:row r="2">
      <x:c r="A2" s="40" t="str">
        <x:v>BUG REPORT — BHUMI SATYA</x:v>
      </x:c>
      <x:c r="B2" s="40" t="str">
        <x:v>BUG REPORT — BHUMI SATYA</x:v>
      </x:c>
      <x:c r="C2" s="40" t="str">
        <x:v>BUG REPORT — BHUMI SATYA</x:v>
      </x:c>
      <x:c r="D2" s="40" t="str">
        <x:v>BUG REPORT — BHUMI SATYA</x:v>
      </x:c>
      <x:c r="E2" s="40" t="str">
        <x:v>BUG REPORT — BHUMI SATYA</x:v>
      </x:c>
      <x:c r="F2" s="40" t="str">
        <x:v>BUG REPORT — BHUMI SATYA</x:v>
      </x:c>
      <x:c r="G2" s="40" t="str">
        <x:v>BUG REPORT — BHUMI SATYA</x:v>
      </x:c>
      <x:c r="H2" s="40" t="str">
        <x:v>BUG REPORT — BHUMI SATYA</x:v>
      </x:c>
      <x:c r="I2" s="40" t="str">
        <x:v>BUG REPORT — BHUMI SATYA</x:v>
      </x:c>
      <x:c r="J2" s="40" t="str">
        <x:v>BUG REPORT — BHUMI SATYA</x:v>
      </x:c>
      <x:c r="K2" s="40" t="str">
        <x:v>BUG REPORT — BHUMI SATYA</x:v>
      </x:c>
      <x:c r="L2" s="40" t="str">
        <x:v>BUG REPORT — BHUMI SATYA</x:v>
      </x:c>
    </x:row>
    <x:row r="3">
      <x:c r="A3" s="57" t="str">
        <x:v>Isi satu baris untuk setiap test case Failed. Sertakan langkah reproduksi dan bukti yang dapat dibuka.</x:v>
      </x:c>
      <x:c r="B3" s="57" t="str">
        <x:v>Isi satu baris untuk setiap test case Failed. Sertakan langkah reproduksi dan bukti yang dapat dibuka.</x:v>
      </x:c>
      <x:c r="C3" s="57" t="str">
        <x:v>Isi satu baris untuk setiap test case Failed. Sertakan langkah reproduksi dan bukti yang dapat dibuka.</x:v>
      </x:c>
      <x:c r="D3" s="57" t="str">
        <x:v>Isi satu baris untuk setiap test case Failed. Sertakan langkah reproduksi dan bukti yang dapat dibuka.</x:v>
      </x:c>
      <x:c r="E3" s="57" t="str">
        <x:v>Isi satu baris untuk setiap test case Failed. Sertakan langkah reproduksi dan bukti yang dapat dibuka.</x:v>
      </x:c>
      <x:c r="F3" s="57" t="str">
        <x:v>Isi satu baris untuk setiap test case Failed. Sertakan langkah reproduksi dan bukti yang dapat dibuka.</x:v>
      </x:c>
      <x:c r="G3" s="57" t="str">
        <x:v>Isi satu baris untuk setiap test case Failed. Sertakan langkah reproduksi dan bukti yang dapat dibuka.</x:v>
      </x:c>
      <x:c r="H3" s="57" t="str">
        <x:v>Isi satu baris untuk setiap test case Failed. Sertakan langkah reproduksi dan bukti yang dapat dibuka.</x:v>
      </x:c>
      <x:c r="I3" s="57" t="str">
        <x:v>Isi satu baris untuk setiap test case Failed. Sertakan langkah reproduksi dan bukti yang dapat dibuka.</x:v>
      </x:c>
      <x:c r="J3" s="57" t="str">
        <x:v>Isi satu baris untuk setiap test case Failed. Sertakan langkah reproduksi dan bukti yang dapat dibuka.</x:v>
      </x:c>
      <x:c r="K3" s="57" t="str">
        <x:v>Isi satu baris untuk setiap test case Failed. Sertakan langkah reproduksi dan bukti yang dapat dibuka.</x:v>
      </x:c>
      <x:c r="L3" s="57" t="str">
        <x:v>Isi satu baris untuk setiap test case Failed. Sertakan langkah reproduksi dan bukti yang dapat dibuka.</x:v>
      </x:c>
    </x:row>
    <x:row r="5" ht="36" customHeight="1">
      <x:c r="A5" s="46" t="str">
        <x:v>Bug ID</x:v>
      </x:c>
      <x:c r="B5" s="46" t="str">
        <x:v>Test ID</x:v>
      </x:c>
      <x:c r="C5" s="46" t="str">
        <x:v>Judul Masalah</x:v>
      </x:c>
      <x:c r="D5" s="46" t="str">
        <x:v>Langkah Reproduksi</x:v>
      </x:c>
      <x:c r="E5" s="46" t="str">
        <x:v>Expected</x:v>
      </x:c>
      <x:c r="F5" s="46" t="str">
        <x:v>Actual</x:v>
      </x:c>
      <x:c r="G5" s="46" t="str">
        <x:v>Severity</x:v>
      </x:c>
      <x:c r="H5" s="46" t="str">
        <x:v>Status Bug</x:v>
      </x:c>
      <x:c r="I5" s="46" t="str">
        <x:v>PIC</x:v>
      </x:c>
      <x:c r="J5" s="46" t="str">
        <x:v>Tanggal Temuan</x:v>
      </x:c>
      <x:c r="K5" s="46" t="str">
        <x:v>Bukti / Link</x:v>
      </x:c>
      <x:c r="L5" s="46" t="str">
        <x:v>Catatan</x:v>
      </x:c>
    </x:row>
    <x:row r="6" ht="52" customHeight="1">
      <x:c r="A6" s="58" t="str">
        <x:v>BUG-001</x:v>
      </x:c>
      <x:c r="B6" s="59" t="str"/>
      <x:c r="C6" s="59" t="str"/>
      <x:c r="D6" s="59" t="str"/>
      <x:c r="E6" s="59" t="str"/>
      <x:c r="F6" s="59" t="str"/>
      <x:c r="G6" s="58" t="str">
        <x:v>Medium</x:v>
      </x:c>
      <x:c r="H6" s="58" t="str">
        <x:v>Open</x:v>
      </x:c>
      <x:c r="I6" s="60" t="str"/>
      <x:c r="J6" s="61"/>
      <x:c r="K6" s="60" t="str"/>
      <x:c r="L6" s="60" t="str"/>
    </x:row>
    <x:row r="7" ht="52" customHeight="1">
      <x:c r="A7" s="58" t="str">
        <x:v>BUG-002</x:v>
      </x:c>
      <x:c r="B7" s="59" t="str"/>
      <x:c r="C7" s="59" t="str"/>
      <x:c r="D7" s="59" t="str"/>
      <x:c r="E7" s="59" t="str"/>
      <x:c r="F7" s="59" t="str"/>
      <x:c r="G7" s="58" t="str">
        <x:v>Medium</x:v>
      </x:c>
      <x:c r="H7" s="58" t="str">
        <x:v>Open</x:v>
      </x:c>
      <x:c r="I7" s="60" t="str"/>
      <x:c r="J7" s="61"/>
      <x:c r="K7" s="60" t="str"/>
      <x:c r="L7" s="60" t="str"/>
    </x:row>
    <x:row r="8" ht="52" customHeight="1">
      <x:c r="A8" s="58" t="str">
        <x:v>BUG-003</x:v>
      </x:c>
      <x:c r="B8" s="59" t="str"/>
      <x:c r="C8" s="59" t="str"/>
      <x:c r="D8" s="59" t="str"/>
      <x:c r="E8" s="59" t="str"/>
      <x:c r="F8" s="59" t="str"/>
      <x:c r="G8" s="58" t="str">
        <x:v>Medium</x:v>
      </x:c>
      <x:c r="H8" s="58" t="str">
        <x:v>Open</x:v>
      </x:c>
      <x:c r="I8" s="60" t="str"/>
      <x:c r="J8" s="61"/>
      <x:c r="K8" s="60" t="str"/>
      <x:c r="L8" s="60" t="str"/>
    </x:row>
    <x:row r="9" ht="52" customHeight="1">
      <x:c r="A9" s="58" t="str">
        <x:v>BUG-004</x:v>
      </x:c>
      <x:c r="B9" s="59" t="str"/>
      <x:c r="C9" s="59" t="str"/>
      <x:c r="D9" s="59" t="str"/>
      <x:c r="E9" s="59" t="str"/>
      <x:c r="F9" s="59" t="str"/>
      <x:c r="G9" s="58" t="str">
        <x:v>Medium</x:v>
      </x:c>
      <x:c r="H9" s="58" t="str">
        <x:v>Open</x:v>
      </x:c>
      <x:c r="I9" s="60" t="str"/>
      <x:c r="J9" s="61"/>
      <x:c r="K9" s="60" t="str"/>
      <x:c r="L9" s="60" t="str"/>
    </x:row>
    <x:row r="10" ht="52" customHeight="1">
      <x:c r="A10" s="58" t="str">
        <x:v>BUG-005</x:v>
      </x:c>
      <x:c r="B10" s="59" t="str"/>
      <x:c r="C10" s="59" t="str"/>
      <x:c r="D10" s="59" t="str"/>
      <x:c r="E10" s="59" t="str"/>
      <x:c r="F10" s="59" t="str"/>
      <x:c r="G10" s="58" t="str">
        <x:v>Medium</x:v>
      </x:c>
      <x:c r="H10" s="58" t="str">
        <x:v>Open</x:v>
      </x:c>
      <x:c r="I10" s="60" t="str"/>
      <x:c r="J10" s="61"/>
      <x:c r="K10" s="60" t="str"/>
      <x:c r="L10" s="60" t="str"/>
    </x:row>
    <x:row r="11" ht="52" customHeight="1">
      <x:c r="A11" s="58" t="str">
        <x:v>BUG-006</x:v>
      </x:c>
      <x:c r="B11" s="59" t="str"/>
      <x:c r="C11" s="59" t="str"/>
      <x:c r="D11" s="59" t="str"/>
      <x:c r="E11" s="59" t="str"/>
      <x:c r="F11" s="59" t="str"/>
      <x:c r="G11" s="58" t="str">
        <x:v>Medium</x:v>
      </x:c>
      <x:c r="H11" s="58" t="str">
        <x:v>Open</x:v>
      </x:c>
      <x:c r="I11" s="60" t="str"/>
      <x:c r="J11" s="61"/>
      <x:c r="K11" s="60" t="str"/>
      <x:c r="L11" s="60" t="str"/>
    </x:row>
    <x:row r="12" ht="52" customHeight="1">
      <x:c r="A12" s="58" t="str">
        <x:v>BUG-007</x:v>
      </x:c>
      <x:c r="B12" s="59" t="str"/>
      <x:c r="C12" s="59" t="str"/>
      <x:c r="D12" s="59" t="str"/>
      <x:c r="E12" s="59" t="str"/>
      <x:c r="F12" s="59" t="str"/>
      <x:c r="G12" s="58" t="str">
        <x:v>Medium</x:v>
      </x:c>
      <x:c r="H12" s="58" t="str">
        <x:v>Open</x:v>
      </x:c>
      <x:c r="I12" s="60" t="str"/>
      <x:c r="J12" s="61"/>
      <x:c r="K12" s="60" t="str"/>
      <x:c r="L12" s="60" t="str"/>
    </x:row>
    <x:row r="13" ht="52" customHeight="1">
      <x:c r="A13" s="58" t="str">
        <x:v>BUG-008</x:v>
      </x:c>
      <x:c r="B13" s="59" t="str"/>
      <x:c r="C13" s="59" t="str"/>
      <x:c r="D13" s="59" t="str"/>
      <x:c r="E13" s="59" t="str"/>
      <x:c r="F13" s="59" t="str"/>
      <x:c r="G13" s="58" t="str">
        <x:v>Medium</x:v>
      </x:c>
      <x:c r="H13" s="58" t="str">
        <x:v>Open</x:v>
      </x:c>
      <x:c r="I13" s="60" t="str"/>
      <x:c r="J13" s="61"/>
      <x:c r="K13" s="60" t="str"/>
      <x:c r="L13" s="60" t="str"/>
    </x:row>
    <x:row r="14" ht="52" customHeight="1">
      <x:c r="A14" s="58" t="str">
        <x:v>BUG-009</x:v>
      </x:c>
      <x:c r="B14" s="59" t="str"/>
      <x:c r="C14" s="59" t="str"/>
      <x:c r="D14" s="59" t="str"/>
      <x:c r="E14" s="59" t="str"/>
      <x:c r="F14" s="59" t="str"/>
      <x:c r="G14" s="58" t="str">
        <x:v>Medium</x:v>
      </x:c>
      <x:c r="H14" s="58" t="str">
        <x:v>Open</x:v>
      </x:c>
      <x:c r="I14" s="60" t="str"/>
      <x:c r="J14" s="61"/>
      <x:c r="K14" s="60" t="str"/>
      <x:c r="L14" s="60" t="str"/>
    </x:row>
    <x:row r="15" ht="52" customHeight="1">
      <x:c r="A15" s="58" t="str">
        <x:v>BUG-010</x:v>
      </x:c>
      <x:c r="B15" s="59" t="str"/>
      <x:c r="C15" s="59" t="str"/>
      <x:c r="D15" s="59" t="str"/>
      <x:c r="E15" s="59" t="str"/>
      <x:c r="F15" s="59" t="str"/>
      <x:c r="G15" s="58" t="str">
        <x:v>Medium</x:v>
      </x:c>
      <x:c r="H15" s="58" t="str">
        <x:v>Open</x:v>
      </x:c>
      <x:c r="I15" s="60" t="str"/>
      <x:c r="J15" s="61"/>
      <x:c r="K15" s="60" t="str"/>
      <x:c r="L15" s="60" t="str"/>
    </x:row>
    <x:row r="16" ht="52" customHeight="1">
      <x:c r="A16" s="58" t="str">
        <x:v>BUG-011</x:v>
      </x:c>
      <x:c r="B16" s="59" t="str"/>
      <x:c r="C16" s="59" t="str"/>
      <x:c r="D16" s="59" t="str"/>
      <x:c r="E16" s="59" t="str"/>
      <x:c r="F16" s="59" t="str"/>
      <x:c r="G16" s="58" t="str">
        <x:v>Medium</x:v>
      </x:c>
      <x:c r="H16" s="58" t="str">
        <x:v>Open</x:v>
      </x:c>
      <x:c r="I16" s="60" t="str"/>
      <x:c r="J16" s="61"/>
      <x:c r="K16" s="60" t="str"/>
      <x:c r="L16" s="60" t="str"/>
    </x:row>
    <x:row r="17" ht="52" customHeight="1">
      <x:c r="A17" s="58" t="str">
        <x:v>BUG-012</x:v>
      </x:c>
      <x:c r="B17" s="59" t="str"/>
      <x:c r="C17" s="59" t="str"/>
      <x:c r="D17" s="59" t="str"/>
      <x:c r="E17" s="59" t="str"/>
      <x:c r="F17" s="59" t="str"/>
      <x:c r="G17" s="58" t="str">
        <x:v>Medium</x:v>
      </x:c>
      <x:c r="H17" s="58" t="str">
        <x:v>Open</x:v>
      </x:c>
      <x:c r="I17" s="60" t="str"/>
      <x:c r="J17" s="61"/>
      <x:c r="K17" s="60" t="str"/>
      <x:c r="L17" s="60" t="str"/>
    </x:row>
    <x:row r="18" ht="52" customHeight="1">
      <x:c r="A18" s="58" t="str">
        <x:v>BUG-013</x:v>
      </x:c>
      <x:c r="B18" s="59" t="str"/>
      <x:c r="C18" s="59" t="str"/>
      <x:c r="D18" s="59" t="str"/>
      <x:c r="E18" s="59" t="str"/>
      <x:c r="F18" s="59" t="str"/>
      <x:c r="G18" s="58" t="str">
        <x:v>Medium</x:v>
      </x:c>
      <x:c r="H18" s="58" t="str">
        <x:v>Open</x:v>
      </x:c>
      <x:c r="I18" s="60" t="str"/>
      <x:c r="J18" s="61"/>
      <x:c r="K18" s="60" t="str"/>
      <x:c r="L18" s="60" t="str"/>
    </x:row>
    <x:row r="19" ht="52" customHeight="1">
      <x:c r="A19" s="58" t="str">
        <x:v>BUG-014</x:v>
      </x:c>
      <x:c r="B19" s="59" t="str"/>
      <x:c r="C19" s="59" t="str"/>
      <x:c r="D19" s="59" t="str"/>
      <x:c r="E19" s="59" t="str"/>
      <x:c r="F19" s="59" t="str"/>
      <x:c r="G19" s="58" t="str">
        <x:v>Medium</x:v>
      </x:c>
      <x:c r="H19" s="58" t="str">
        <x:v>Open</x:v>
      </x:c>
      <x:c r="I19" s="60" t="str"/>
      <x:c r="J19" s="61"/>
      <x:c r="K19" s="60" t="str"/>
      <x:c r="L19" s="60" t="str"/>
    </x:row>
    <x:row r="20" ht="52" customHeight="1">
      <x:c r="A20" s="58" t="str">
        <x:v>BUG-015</x:v>
      </x:c>
      <x:c r="B20" s="59" t="str"/>
      <x:c r="C20" s="59" t="str"/>
      <x:c r="D20" s="59" t="str"/>
      <x:c r="E20" s="59" t="str"/>
      <x:c r="F20" s="59" t="str"/>
      <x:c r="G20" s="58" t="str">
        <x:v>Medium</x:v>
      </x:c>
      <x:c r="H20" s="58" t="str">
        <x:v>Open</x:v>
      </x:c>
      <x:c r="I20" s="60" t="str"/>
      <x:c r="J20" s="61"/>
      <x:c r="K20" s="60" t="str"/>
      <x:c r="L20" s="60" t="str"/>
    </x:row>
    <x:row r="21" ht="52" customHeight="1">
      <x:c r="A21" s="58" t="str">
        <x:v>BUG-016</x:v>
      </x:c>
      <x:c r="B21" s="59" t="str"/>
      <x:c r="C21" s="59" t="str"/>
      <x:c r="D21" s="59" t="str"/>
      <x:c r="E21" s="59" t="str"/>
      <x:c r="F21" s="59" t="str"/>
      <x:c r="G21" s="58" t="str">
        <x:v>Medium</x:v>
      </x:c>
      <x:c r="H21" s="58" t="str">
        <x:v>Open</x:v>
      </x:c>
      <x:c r="I21" s="60" t="str"/>
      <x:c r="J21" s="61"/>
      <x:c r="K21" s="60" t="str"/>
      <x:c r="L21" s="60" t="str"/>
    </x:row>
    <x:row r="22" ht="52" customHeight="1">
      <x:c r="A22" s="58" t="str">
        <x:v>BUG-017</x:v>
      </x:c>
      <x:c r="B22" s="59" t="str"/>
      <x:c r="C22" s="59" t="str"/>
      <x:c r="D22" s="59" t="str"/>
      <x:c r="E22" s="59" t="str"/>
      <x:c r="F22" s="59" t="str"/>
      <x:c r="G22" s="58" t="str">
        <x:v>Medium</x:v>
      </x:c>
      <x:c r="H22" s="58" t="str">
        <x:v>Open</x:v>
      </x:c>
      <x:c r="I22" s="60" t="str"/>
      <x:c r="J22" s="61"/>
      <x:c r="K22" s="60" t="str"/>
      <x:c r="L22" s="60" t="str"/>
    </x:row>
    <x:row r="23" ht="52" customHeight="1">
      <x:c r="A23" s="58" t="str">
        <x:v>BUG-018</x:v>
      </x:c>
      <x:c r="B23" s="59" t="str"/>
      <x:c r="C23" s="59" t="str"/>
      <x:c r="D23" s="59" t="str"/>
      <x:c r="E23" s="59" t="str"/>
      <x:c r="F23" s="59" t="str"/>
      <x:c r="G23" s="58" t="str">
        <x:v>Medium</x:v>
      </x:c>
      <x:c r="H23" s="58" t="str">
        <x:v>Open</x:v>
      </x:c>
      <x:c r="I23" s="60" t="str"/>
      <x:c r="J23" s="61"/>
      <x:c r="K23" s="60" t="str"/>
      <x:c r="L23" s="60" t="str"/>
    </x:row>
    <x:row r="24" ht="52" customHeight="1">
      <x:c r="A24" s="58" t="str">
        <x:v>BUG-019</x:v>
      </x:c>
      <x:c r="B24" s="59" t="str"/>
      <x:c r="C24" s="59" t="str"/>
      <x:c r="D24" s="59" t="str"/>
      <x:c r="E24" s="59" t="str"/>
      <x:c r="F24" s="59" t="str"/>
      <x:c r="G24" s="58" t="str">
        <x:v>Medium</x:v>
      </x:c>
      <x:c r="H24" s="58" t="str">
        <x:v>Open</x:v>
      </x:c>
      <x:c r="I24" s="60" t="str"/>
      <x:c r="J24" s="61"/>
      <x:c r="K24" s="60" t="str"/>
      <x:c r="L24" s="60" t="str"/>
    </x:row>
    <x:row r="25" ht="52" customHeight="1">
      <x:c r="A25" s="58" t="str">
        <x:v>BUG-020</x:v>
      </x:c>
      <x:c r="B25" s="59" t="str"/>
      <x:c r="C25" s="59" t="str"/>
      <x:c r="D25" s="59" t="str"/>
      <x:c r="E25" s="59" t="str"/>
      <x:c r="F25" s="59" t="str"/>
      <x:c r="G25" s="58" t="str">
        <x:v>Medium</x:v>
      </x:c>
      <x:c r="H25" s="58" t="str">
        <x:v>Open</x:v>
      </x:c>
      <x:c r="I25" s="60" t="str"/>
      <x:c r="J25" s="61"/>
      <x:c r="K25" s="60" t="str"/>
      <x:c r="L25" s="60" t="str"/>
    </x:row>
    <x:row r="26" ht="52" customHeight="1">
      <x:c r="A26" s="58" t="str">
        <x:v>BUG-021</x:v>
      </x:c>
      <x:c r="B26" s="59" t="str"/>
      <x:c r="C26" s="59" t="str"/>
      <x:c r="D26" s="59" t="str"/>
      <x:c r="E26" s="59" t="str"/>
      <x:c r="F26" s="59" t="str"/>
      <x:c r="G26" s="58" t="str">
        <x:v>Medium</x:v>
      </x:c>
      <x:c r="H26" s="58" t="str">
        <x:v>Open</x:v>
      </x:c>
      <x:c r="I26" s="60" t="str"/>
      <x:c r="J26" s="61"/>
      <x:c r="K26" s="60" t="str"/>
      <x:c r="L26" s="60" t="str"/>
    </x:row>
    <x:row r="27" ht="52" customHeight="1">
      <x:c r="A27" s="58" t="str">
        <x:v>BUG-022</x:v>
      </x:c>
      <x:c r="B27" s="59" t="str"/>
      <x:c r="C27" s="59" t="str"/>
      <x:c r="D27" s="59" t="str"/>
      <x:c r="E27" s="59" t="str"/>
      <x:c r="F27" s="59" t="str"/>
      <x:c r="G27" s="58" t="str">
        <x:v>Medium</x:v>
      </x:c>
      <x:c r="H27" s="58" t="str">
        <x:v>Open</x:v>
      </x:c>
      <x:c r="I27" s="60" t="str"/>
      <x:c r="J27" s="61"/>
      <x:c r="K27" s="60" t="str"/>
      <x:c r="L27" s="60" t="str"/>
    </x:row>
    <x:row r="28" ht="52" customHeight="1">
      <x:c r="A28" s="58" t="str">
        <x:v>BUG-023</x:v>
      </x:c>
      <x:c r="B28" s="59" t="str"/>
      <x:c r="C28" s="59" t="str"/>
      <x:c r="D28" s="59" t="str"/>
      <x:c r="E28" s="59" t="str"/>
      <x:c r="F28" s="59" t="str"/>
      <x:c r="G28" s="58" t="str">
        <x:v>Medium</x:v>
      </x:c>
      <x:c r="H28" s="58" t="str">
        <x:v>Open</x:v>
      </x:c>
      <x:c r="I28" s="60" t="str"/>
      <x:c r="J28" s="61"/>
      <x:c r="K28" s="60" t="str"/>
      <x:c r="L28" s="60" t="str"/>
    </x:row>
    <x:row r="29" ht="52" customHeight="1">
      <x:c r="A29" s="58" t="str">
        <x:v>BUG-024</x:v>
      </x:c>
      <x:c r="B29" s="59" t="str"/>
      <x:c r="C29" s="59" t="str"/>
      <x:c r="D29" s="59" t="str"/>
      <x:c r="E29" s="59" t="str"/>
      <x:c r="F29" s="59" t="str"/>
      <x:c r="G29" s="58" t="str">
        <x:v>Medium</x:v>
      </x:c>
      <x:c r="H29" s="58" t="str">
        <x:v>Open</x:v>
      </x:c>
      <x:c r="I29" s="60" t="str"/>
      <x:c r="J29" s="61"/>
      <x:c r="K29" s="60" t="str"/>
      <x:c r="L29" s="60" t="str"/>
    </x:row>
    <x:row r="30" ht="52" customHeight="1">
      <x:c r="A30" s="58" t="str">
        <x:v>BUG-025</x:v>
      </x:c>
      <x:c r="B30" s="59" t="str"/>
      <x:c r="C30" s="59" t="str"/>
      <x:c r="D30" s="59" t="str"/>
      <x:c r="E30" s="59" t="str"/>
      <x:c r="F30" s="59" t="str"/>
      <x:c r="G30" s="58" t="str">
        <x:v>Medium</x:v>
      </x:c>
      <x:c r="H30" s="58" t="str">
        <x:v>Open</x:v>
      </x:c>
      <x:c r="I30" s="60" t="str"/>
      <x:c r="J30" s="61"/>
      <x:c r="K30" s="60" t="str"/>
      <x:c r="L30" s="60" t="str"/>
    </x:row>
    <x:row r="31" ht="52" customHeight="1">
      <x:c r="A31" s="58" t="str">
        <x:v>BUG-026</x:v>
      </x:c>
      <x:c r="B31" s="59" t="str"/>
      <x:c r="C31" s="59" t="str"/>
      <x:c r="D31" s="59" t="str"/>
      <x:c r="E31" s="59" t="str"/>
      <x:c r="F31" s="59" t="str"/>
      <x:c r="G31" s="58" t="str">
        <x:v>Medium</x:v>
      </x:c>
      <x:c r="H31" s="58" t="str">
        <x:v>Open</x:v>
      </x:c>
      <x:c r="I31" s="60" t="str"/>
      <x:c r="J31" s="61"/>
      <x:c r="K31" s="60" t="str"/>
      <x:c r="L31" s="60" t="str"/>
    </x:row>
    <x:row r="32" ht="52" customHeight="1">
      <x:c r="A32" s="58" t="str">
        <x:v>BUG-027</x:v>
      </x:c>
      <x:c r="B32" s="59" t="str"/>
      <x:c r="C32" s="59" t="str"/>
      <x:c r="D32" s="59" t="str"/>
      <x:c r="E32" s="59" t="str"/>
      <x:c r="F32" s="59" t="str"/>
      <x:c r="G32" s="58" t="str">
        <x:v>Medium</x:v>
      </x:c>
      <x:c r="H32" s="58" t="str">
        <x:v>Open</x:v>
      </x:c>
      <x:c r="I32" s="60" t="str"/>
      <x:c r="J32" s="61"/>
      <x:c r="K32" s="60" t="str"/>
      <x:c r="L32" s="60" t="str"/>
    </x:row>
    <x:row r="33" ht="52" customHeight="1">
      <x:c r="A33" s="58" t="str">
        <x:v>BUG-028</x:v>
      </x:c>
      <x:c r="B33" s="59" t="str"/>
      <x:c r="C33" s="59" t="str"/>
      <x:c r="D33" s="59" t="str"/>
      <x:c r="E33" s="59" t="str"/>
      <x:c r="F33" s="59" t="str"/>
      <x:c r="G33" s="58" t="str">
        <x:v>Medium</x:v>
      </x:c>
      <x:c r="H33" s="58" t="str">
        <x:v>Open</x:v>
      </x:c>
      <x:c r="I33" s="60" t="str"/>
      <x:c r="J33" s="61"/>
      <x:c r="K33" s="60" t="str"/>
      <x:c r="L33" s="60" t="str"/>
    </x:row>
    <x:row r="34" ht="52" customHeight="1">
      <x:c r="A34" s="58" t="str">
        <x:v>BUG-029</x:v>
      </x:c>
      <x:c r="B34" s="59" t="str"/>
      <x:c r="C34" s="59" t="str"/>
      <x:c r="D34" s="59" t="str"/>
      <x:c r="E34" s="59" t="str"/>
      <x:c r="F34" s="59" t="str"/>
      <x:c r="G34" s="58" t="str">
        <x:v>Medium</x:v>
      </x:c>
      <x:c r="H34" s="58" t="str">
        <x:v>Open</x:v>
      </x:c>
      <x:c r="I34" s="60" t="str"/>
      <x:c r="J34" s="61"/>
      <x:c r="K34" s="60" t="str"/>
      <x:c r="L34" s="60" t="str"/>
    </x:row>
    <x:row r="35" ht="52" customHeight="1">
      <x:c r="A35" s="58" t="str">
        <x:v>BUG-030</x:v>
      </x:c>
      <x:c r="B35" s="59" t="str"/>
      <x:c r="C35" s="59" t="str"/>
      <x:c r="D35" s="59" t="str"/>
      <x:c r="E35" s="59" t="str"/>
      <x:c r="F35" s="59" t="str"/>
      <x:c r="G35" s="58" t="str">
        <x:v>Medium</x:v>
      </x:c>
      <x:c r="H35" s="58" t="str">
        <x:v>Open</x:v>
      </x:c>
      <x:c r="I35" s="60" t="str"/>
      <x:c r="J35" s="61"/>
      <x:c r="K35" s="60" t="str"/>
      <x:c r="L35" s="60" t="str"/>
    </x:row>
    <x:row r="36" ht="52" customHeight="1">
      <x:c r="A36" s="58" t="str">
        <x:v>BUG-031</x:v>
      </x:c>
      <x:c r="B36" s="59" t="str"/>
      <x:c r="C36" s="59" t="str"/>
      <x:c r="D36" s="59" t="str"/>
      <x:c r="E36" s="59" t="str"/>
      <x:c r="F36" s="59" t="str"/>
      <x:c r="G36" s="58" t="str">
        <x:v>Medium</x:v>
      </x:c>
      <x:c r="H36" s="58" t="str">
        <x:v>Open</x:v>
      </x:c>
      <x:c r="I36" s="60" t="str"/>
      <x:c r="J36" s="61"/>
      <x:c r="K36" s="60" t="str"/>
      <x:c r="L36" s="60" t="str"/>
    </x:row>
    <x:row r="37" ht="52" customHeight="1">
      <x:c r="A37" s="58" t="str">
        <x:v>BUG-032</x:v>
      </x:c>
      <x:c r="B37" s="59" t="str"/>
      <x:c r="C37" s="59" t="str"/>
      <x:c r="D37" s="59" t="str"/>
      <x:c r="E37" s="59" t="str"/>
      <x:c r="F37" s="59" t="str"/>
      <x:c r="G37" s="58" t="str">
        <x:v>Medium</x:v>
      </x:c>
      <x:c r="H37" s="58" t="str">
        <x:v>Open</x:v>
      </x:c>
      <x:c r="I37" s="60" t="str"/>
      <x:c r="J37" s="61"/>
      <x:c r="K37" s="60" t="str"/>
      <x:c r="L37" s="60" t="str"/>
    </x:row>
    <x:row r="38" ht="52" customHeight="1">
      <x:c r="A38" s="58" t="str">
        <x:v>BUG-033</x:v>
      </x:c>
      <x:c r="B38" s="59" t="str"/>
      <x:c r="C38" s="59" t="str"/>
      <x:c r="D38" s="59" t="str"/>
      <x:c r="E38" s="59" t="str"/>
      <x:c r="F38" s="59" t="str"/>
      <x:c r="G38" s="58" t="str">
        <x:v>Medium</x:v>
      </x:c>
      <x:c r="H38" s="58" t="str">
        <x:v>Open</x:v>
      </x:c>
      <x:c r="I38" s="60" t="str"/>
      <x:c r="J38" s="61"/>
      <x:c r="K38" s="60" t="str"/>
      <x:c r="L38" s="60" t="str"/>
    </x:row>
    <x:row r="39" ht="52" customHeight="1">
      <x:c r="A39" s="58" t="str">
        <x:v>BUG-034</x:v>
      </x:c>
      <x:c r="B39" s="59" t="str"/>
      <x:c r="C39" s="59" t="str"/>
      <x:c r="D39" s="59" t="str"/>
      <x:c r="E39" s="59" t="str"/>
      <x:c r="F39" s="59" t="str"/>
      <x:c r="G39" s="58" t="str">
        <x:v>Medium</x:v>
      </x:c>
      <x:c r="H39" s="58" t="str">
        <x:v>Open</x:v>
      </x:c>
      <x:c r="I39" s="60" t="str"/>
      <x:c r="J39" s="61"/>
      <x:c r="K39" s="60" t="str"/>
      <x:c r="L39" s="60" t="str"/>
    </x:row>
    <x:row r="40" ht="52" customHeight="1">
      <x:c r="A40" s="58" t="str">
        <x:v>BUG-035</x:v>
      </x:c>
      <x:c r="B40" s="59" t="str"/>
      <x:c r="C40" s="59" t="str"/>
      <x:c r="D40" s="59" t="str"/>
      <x:c r="E40" s="59" t="str"/>
      <x:c r="F40" s="59" t="str"/>
      <x:c r="G40" s="58" t="str">
        <x:v>Medium</x:v>
      </x:c>
      <x:c r="H40" s="58" t="str">
        <x:v>Open</x:v>
      </x:c>
      <x:c r="I40" s="60" t="str"/>
      <x:c r="J40" s="61"/>
      <x:c r="K40" s="60" t="str"/>
      <x:c r="L40" s="60" t="str"/>
    </x:row>
    <x:row r="41" ht="52" customHeight="1">
      <x:c r="A41" s="58" t="str">
        <x:v>BUG-036</x:v>
      </x:c>
      <x:c r="B41" s="59" t="str"/>
      <x:c r="C41" s="59" t="str"/>
      <x:c r="D41" s="59" t="str"/>
      <x:c r="E41" s="59" t="str"/>
      <x:c r="F41" s="59" t="str"/>
      <x:c r="G41" s="58" t="str">
        <x:v>Medium</x:v>
      </x:c>
      <x:c r="H41" s="58" t="str">
        <x:v>Open</x:v>
      </x:c>
      <x:c r="I41" s="60" t="str"/>
      <x:c r="J41" s="61"/>
      <x:c r="K41" s="60" t="str"/>
      <x:c r="L41" s="60" t="str"/>
    </x:row>
    <x:row r="42" ht="52" customHeight="1">
      <x:c r="A42" s="58" t="str">
        <x:v>BUG-037</x:v>
      </x:c>
      <x:c r="B42" s="59" t="str"/>
      <x:c r="C42" s="59" t="str"/>
      <x:c r="D42" s="59" t="str"/>
      <x:c r="E42" s="59" t="str"/>
      <x:c r="F42" s="59" t="str"/>
      <x:c r="G42" s="58" t="str">
        <x:v>Medium</x:v>
      </x:c>
      <x:c r="H42" s="58" t="str">
        <x:v>Open</x:v>
      </x:c>
      <x:c r="I42" s="60" t="str"/>
      <x:c r="J42" s="61"/>
      <x:c r="K42" s="60" t="str"/>
      <x:c r="L42" s="60" t="str"/>
    </x:row>
    <x:row r="43" ht="52" customHeight="1">
      <x:c r="A43" s="58" t="str">
        <x:v>BUG-038</x:v>
      </x:c>
      <x:c r="B43" s="59" t="str"/>
      <x:c r="C43" s="59" t="str"/>
      <x:c r="D43" s="59" t="str"/>
      <x:c r="E43" s="59" t="str"/>
      <x:c r="F43" s="59" t="str"/>
      <x:c r="G43" s="58" t="str">
        <x:v>Medium</x:v>
      </x:c>
      <x:c r="H43" s="58" t="str">
        <x:v>Open</x:v>
      </x:c>
      <x:c r="I43" s="60" t="str"/>
      <x:c r="J43" s="61"/>
      <x:c r="K43" s="60" t="str"/>
      <x:c r="L43" s="60" t="str"/>
    </x:row>
    <x:row r="44" ht="52" customHeight="1">
      <x:c r="A44" s="58" t="str">
        <x:v>BUG-039</x:v>
      </x:c>
      <x:c r="B44" s="59" t="str"/>
      <x:c r="C44" s="59" t="str"/>
      <x:c r="D44" s="59" t="str"/>
      <x:c r="E44" s="59" t="str"/>
      <x:c r="F44" s="59" t="str"/>
      <x:c r="G44" s="58" t="str">
        <x:v>Medium</x:v>
      </x:c>
      <x:c r="H44" s="58" t="str">
        <x:v>Open</x:v>
      </x:c>
      <x:c r="I44" s="60" t="str"/>
      <x:c r="J44" s="61"/>
      <x:c r="K44" s="60" t="str"/>
      <x:c r="L44" s="60" t="str"/>
    </x:row>
    <x:row r="45" ht="52" customHeight="1">
      <x:c r="A45" s="58" t="str">
        <x:v>BUG-040</x:v>
      </x:c>
      <x:c r="B45" s="59" t="str"/>
      <x:c r="C45" s="59" t="str"/>
      <x:c r="D45" s="59" t="str"/>
      <x:c r="E45" s="59" t="str"/>
      <x:c r="F45" s="59" t="str"/>
      <x:c r="G45" s="58" t="str">
        <x:v>Medium</x:v>
      </x:c>
      <x:c r="H45" s="58" t="str">
        <x:v>Open</x:v>
      </x:c>
      <x:c r="I45" s="60" t="str"/>
      <x:c r="J45" s="61"/>
      <x:c r="K45" s="60" t="str"/>
      <x:c r="L45" s="60" t="str"/>
    </x:row>
    <x:row r="46" ht="52" customHeight="1">
      <x:c r="A46" s="58" t="str">
        <x:v>BUG-041</x:v>
      </x:c>
      <x:c r="B46" s="59" t="str"/>
      <x:c r="C46" s="59" t="str"/>
      <x:c r="D46" s="59" t="str"/>
      <x:c r="E46" s="59" t="str"/>
      <x:c r="F46" s="59" t="str"/>
      <x:c r="G46" s="58" t="str">
        <x:v>Medium</x:v>
      </x:c>
      <x:c r="H46" s="58" t="str">
        <x:v>Open</x:v>
      </x:c>
      <x:c r="I46" s="60" t="str"/>
      <x:c r="J46" s="61"/>
      <x:c r="K46" s="60" t="str"/>
      <x:c r="L46" s="60" t="str"/>
    </x:row>
    <x:row r="47" ht="52" customHeight="1">
      <x:c r="A47" s="58" t="str">
        <x:v>BUG-042</x:v>
      </x:c>
      <x:c r="B47" s="59" t="str"/>
      <x:c r="C47" s="59" t="str"/>
      <x:c r="D47" s="59" t="str"/>
      <x:c r="E47" s="59" t="str"/>
      <x:c r="F47" s="59" t="str"/>
      <x:c r="G47" s="58" t="str">
        <x:v>Medium</x:v>
      </x:c>
      <x:c r="H47" s="58" t="str">
        <x:v>Open</x:v>
      </x:c>
      <x:c r="I47" s="60" t="str"/>
      <x:c r="J47" s="61"/>
      <x:c r="K47" s="60" t="str"/>
      <x:c r="L47" s="60" t="str"/>
    </x:row>
    <x:row r="48" ht="52" customHeight="1">
      <x:c r="A48" s="58" t="str">
        <x:v>BUG-043</x:v>
      </x:c>
      <x:c r="B48" s="59" t="str"/>
      <x:c r="C48" s="59" t="str"/>
      <x:c r="D48" s="59" t="str"/>
      <x:c r="E48" s="59" t="str"/>
      <x:c r="F48" s="59" t="str"/>
      <x:c r="G48" s="58" t="str">
        <x:v>Medium</x:v>
      </x:c>
      <x:c r="H48" s="58" t="str">
        <x:v>Open</x:v>
      </x:c>
      <x:c r="I48" s="60" t="str"/>
      <x:c r="J48" s="61"/>
      <x:c r="K48" s="60" t="str"/>
      <x:c r="L48" s="60" t="str"/>
    </x:row>
    <x:row r="49" ht="52" customHeight="1">
      <x:c r="A49" s="58" t="str">
        <x:v>BUG-044</x:v>
      </x:c>
      <x:c r="B49" s="59" t="str"/>
      <x:c r="C49" s="59" t="str"/>
      <x:c r="D49" s="59" t="str"/>
      <x:c r="E49" s="59" t="str"/>
      <x:c r="F49" s="59" t="str"/>
      <x:c r="G49" s="58" t="str">
        <x:v>Medium</x:v>
      </x:c>
      <x:c r="H49" s="58" t="str">
        <x:v>Open</x:v>
      </x:c>
      <x:c r="I49" s="60" t="str"/>
      <x:c r="J49" s="61"/>
      <x:c r="K49" s="60" t="str"/>
      <x:c r="L49" s="60" t="str"/>
    </x:row>
    <x:row r="50" ht="52" customHeight="1">
      <x:c r="A50" s="58" t="str">
        <x:v>BUG-045</x:v>
      </x:c>
      <x:c r="B50" s="59" t="str"/>
      <x:c r="C50" s="59" t="str"/>
      <x:c r="D50" s="59" t="str"/>
      <x:c r="E50" s="59" t="str"/>
      <x:c r="F50" s="59" t="str"/>
      <x:c r="G50" s="58" t="str">
        <x:v>Medium</x:v>
      </x:c>
      <x:c r="H50" s="58" t="str">
        <x:v>Open</x:v>
      </x:c>
      <x:c r="I50" s="60" t="str"/>
      <x:c r="J50" s="61"/>
      <x:c r="K50" s="60" t="str"/>
      <x:c r="L50" s="60" t="str"/>
    </x:row>
    <x:row r="51" ht="52" customHeight="1">
      <x:c r="A51" s="58" t="str">
        <x:v>BUG-046</x:v>
      </x:c>
      <x:c r="B51" s="59" t="str"/>
      <x:c r="C51" s="59" t="str"/>
      <x:c r="D51" s="59" t="str"/>
      <x:c r="E51" s="59" t="str"/>
      <x:c r="F51" s="59" t="str"/>
      <x:c r="G51" s="58" t="str">
        <x:v>Medium</x:v>
      </x:c>
      <x:c r="H51" s="58" t="str">
        <x:v>Open</x:v>
      </x:c>
      <x:c r="I51" s="60" t="str"/>
      <x:c r="J51" s="61"/>
      <x:c r="K51" s="60" t="str"/>
      <x:c r="L51" s="60" t="str"/>
    </x:row>
    <x:row r="52" ht="52" customHeight="1">
      <x:c r="A52" s="58" t="str">
        <x:v>BUG-047</x:v>
      </x:c>
      <x:c r="B52" s="59" t="str"/>
      <x:c r="C52" s="59" t="str"/>
      <x:c r="D52" s="59" t="str"/>
      <x:c r="E52" s="59" t="str"/>
      <x:c r="F52" s="59" t="str"/>
      <x:c r="G52" s="58" t="str">
        <x:v>Medium</x:v>
      </x:c>
      <x:c r="H52" s="58" t="str">
        <x:v>Open</x:v>
      </x:c>
      <x:c r="I52" s="60" t="str"/>
      <x:c r="J52" s="61"/>
      <x:c r="K52" s="60" t="str"/>
      <x:c r="L52" s="60" t="str"/>
    </x:row>
    <x:row r="53" ht="52" customHeight="1">
      <x:c r="A53" s="58" t="str">
        <x:v>BUG-048</x:v>
      </x:c>
      <x:c r="B53" s="59" t="str"/>
      <x:c r="C53" s="59" t="str"/>
      <x:c r="D53" s="59" t="str"/>
      <x:c r="E53" s="59" t="str"/>
      <x:c r="F53" s="59" t="str"/>
      <x:c r="G53" s="58" t="str">
        <x:v>Medium</x:v>
      </x:c>
      <x:c r="H53" s="58" t="str">
        <x:v>Open</x:v>
      </x:c>
      <x:c r="I53" s="60" t="str"/>
      <x:c r="J53" s="61"/>
      <x:c r="K53" s="60" t="str"/>
      <x:c r="L53" s="60" t="str"/>
    </x:row>
    <x:row r="54" ht="52" customHeight="1">
      <x:c r="A54" s="58" t="str">
        <x:v>BUG-049</x:v>
      </x:c>
      <x:c r="B54" s="59" t="str"/>
      <x:c r="C54" s="59" t="str"/>
      <x:c r="D54" s="59" t="str"/>
      <x:c r="E54" s="59" t="str"/>
      <x:c r="F54" s="59" t="str"/>
      <x:c r="G54" s="58" t="str">
        <x:v>Medium</x:v>
      </x:c>
      <x:c r="H54" s="58" t="str">
        <x:v>Open</x:v>
      </x:c>
      <x:c r="I54" s="60" t="str"/>
      <x:c r="J54" s="61"/>
      <x:c r="K54" s="60" t="str"/>
      <x:c r="L54" s="60" t="str"/>
    </x:row>
    <x:row r="55" ht="52" customHeight="1">
      <x:c r="A55" s="58" t="str">
        <x:v>BUG-050</x:v>
      </x:c>
      <x:c r="B55" s="59" t="str"/>
      <x:c r="C55" s="59" t="str"/>
      <x:c r="D55" s="59" t="str"/>
      <x:c r="E55" s="59" t="str"/>
      <x:c r="F55" s="59" t="str"/>
      <x:c r="G55" s="58" t="str">
        <x:v>Medium</x:v>
      </x:c>
      <x:c r="H55" s="58" t="str">
        <x:v>Open</x:v>
      </x:c>
      <x:c r="I55" s="60" t="str"/>
      <x:c r="J55" s="61"/>
      <x:c r="K55" s="60" t="str"/>
      <x:c r="L55" s="60" t="str"/>
    </x:row>
  </x:sheetData>
  <x:mergeCells>
    <x:mergeCell ref="A1:L2"/>
    <x:mergeCell ref="A3:L3"/>
  </x:mergeCells>
  <x:conditionalFormatting sqref="G6:G55">
    <x:cfRule type="containsText" dxfId="8" priority="1" operator="containsText" text="Critical"/>
    <x:cfRule type="containsText" dxfId="9" priority="2" operator="containsText" text="High"/>
    <x:cfRule type="containsText" dxfId="10" priority="3" operator="containsText" text="Medium"/>
    <x:cfRule type="containsText" dxfId="11" priority="4" operator="containsText" text="Low"/>
  </x:conditionalFormatting>
  <x:dataValidations count="3">
    <x:dataValidation type="list" sqref="B6:B55">
      <x:formula1>'Test Cases'!$A$6:$A$210</x:formula1>
    </x:dataValidation>
    <x:dataValidation type="list" sqref="G6:G55">
      <x:formula1>'Referensi'!$B$2:$B$5</x:formula1>
    </x:dataValidation>
    <x:dataValidation type="list" sqref="H6:H55">
      <x:formula1>'Referensi'!$D$2:$D$6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d6e80f371048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3" t="str">
        <x:v>TEST SUMMARY — BHUMI SATYA</x:v>
      </x:c>
      <x:c r="B1" s="13" t="str">
        <x:v>TEST SUMMARY — BHUMI SATYA</x:v>
      </x:c>
      <x:c r="C1" s="13" t="str">
        <x:v>TEST SUMMARY — BHUMI SATYA</x:v>
      </x:c>
      <x:c r="D1" s="13" t="str">
        <x:v>TEST SUMMARY — BHUMI SATYA</x:v>
      </x:c>
      <x:c r="E1" s="13" t="str">
        <x:v>TEST SUMMARY — BHUMI SATYA</x:v>
      </x:c>
      <x:c r="F1" s="13" t="str">
        <x:v>TEST SUMMARY — BHUMI SATYA</x:v>
      </x:c>
      <x:c r="G1" s="13" t="str">
        <x:v>TEST SUMMARY — BHUMI SATYA</x:v>
      </x:c>
      <x:c r="H1" s="13" t="str">
        <x:v>TEST SUMMARY — BHUMI SATYA</x:v>
      </x:c>
      <x:c r="I1" s="13" t="str">
        <x:v>TEST SUMMARY — BHUMI SATYA</x:v>
      </x:c>
      <x:c r="J1" s="13" t="str">
        <x:v>TEST SUMMARY — BHUMI SATYA</x:v>
      </x:c>
      <x:c r="K1" s="13" t="str">
        <x:v>TEST SUMMARY — BHUMI SATYA</x:v>
      </x:c>
      <x:c r="L1" s="13" t="str">
        <x:v>TEST SUMMARY — BHUMI SATYA</x:v>
      </x:c>
      <x:c r="M1" s="13" t="str">
        <x:v>TEST SUMMARY — BHUMI SATYA</x:v>
      </x:c>
      <x:c r="N1" s="13" t="str">
        <x:v>TEST SUMMARY — BHUMI SATYA</x:v>
      </x:c>
    </x:row>
    <x:row r="2">
      <x:c r="A2" s="13" t="str">
        <x:v>TEST SUMMARY — BHUMI SATYA</x:v>
      </x:c>
      <x:c r="B2" s="13" t="str">
        <x:v>TEST SUMMARY — BHUMI SATYA</x:v>
      </x:c>
      <x:c r="C2" s="13" t="str">
        <x:v>TEST SUMMARY — BHUMI SATYA</x:v>
      </x:c>
      <x:c r="D2" s="13" t="str">
        <x:v>TEST SUMMARY — BHUMI SATYA</x:v>
      </x:c>
      <x:c r="E2" s="13" t="str">
        <x:v>TEST SUMMARY — BHUMI SATYA</x:v>
      </x:c>
      <x:c r="F2" s="13" t="str">
        <x:v>TEST SUMMARY — BHUMI SATYA</x:v>
      </x:c>
      <x:c r="G2" s="13" t="str">
        <x:v>TEST SUMMARY — BHUMI SATYA</x:v>
      </x:c>
      <x:c r="H2" s="13" t="str">
        <x:v>TEST SUMMARY — BHUMI SATYA</x:v>
      </x:c>
      <x:c r="I2" s="13" t="str">
        <x:v>TEST SUMMARY — BHUMI SATYA</x:v>
      </x:c>
      <x:c r="J2" s="13" t="str">
        <x:v>TEST SUMMARY — BHUMI SATYA</x:v>
      </x:c>
      <x:c r="K2" s="13" t="str">
        <x:v>TEST SUMMARY — BHUMI SATYA</x:v>
      </x:c>
      <x:c r="L2" s="13" t="str">
        <x:v>TEST SUMMARY — BHUMI SATYA</x:v>
      </x:c>
      <x:c r="M2" s="13" t="str">
        <x:v>TEST SUMMARY — BHUMI SATYA</x:v>
      </x:c>
      <x:c r="N2" s="13" t="str">
        <x:v>TEST SUMMARY — BHUMI SATYA</x:v>
      </x:c>
    </x:row>
    <x:row r="4">
      <x:c r="A4" s="69" t="str">
        <x:v>Metric</x:v>
      </x:c>
      <x:c r="B4" s="70" t="str">
        <x:v>Value</x:v>
      </x:c>
      <x:c r="D4" s="44" t="str">
        <x:v>Status</x:v>
      </x:c>
      <x:c r="E4" s="44" t="str">
        <x:v>Jumlah</x:v>
      </x:c>
    </x:row>
    <x:row r="5">
      <x:c r="A5" s="71" t="str">
        <x:v>Total Test</x:v>
      </x:c>
      <x:c r="B5" s="72" t="n">
        <x:f>COUNTA('Test Cases'!$A$6:$A$210)</x:f>
        <x:v>205</x:v>
      </x:c>
      <x:c r="D5" s="75" t="str">
        <x:v>Passed</x:v>
      </x:c>
      <x:c r="E5" s="76" t="n">
        <x:f>B6</x:f>
        <x:v>0</x:v>
      </x:c>
    </x:row>
    <x:row r="6">
      <x:c r="A6" s="71" t="str">
        <x:v>Passed</x:v>
      </x:c>
      <x:c r="B6" s="72" t="n">
        <x:f>COUNTIF('Test Cases'!$I$6:$I$210,"Passed")</x:f>
        <x:v>0</x:v>
      </x:c>
      <x:c r="D6" s="7" t="str">
        <x:v>Failed</x:v>
      </x:c>
      <x:c r="E6" s="9" t="n">
        <x:f>B7</x:f>
        <x:v>0</x:v>
      </x:c>
    </x:row>
    <x:row r="7">
      <x:c r="A7" s="71" t="str">
        <x:v>Failed</x:v>
      </x:c>
      <x:c r="B7" s="72" t="n">
        <x:f>COUNTIF('Test Cases'!$I$6:$I$210,"Failed")</x:f>
        <x:v>0</x:v>
      </x:c>
      <x:c r="D7" s="7" t="str">
        <x:v>Blocked</x:v>
      </x:c>
      <x:c r="E7" s="9" t="n">
        <x:f>B8</x:f>
        <x:v>0</x:v>
      </x:c>
    </x:row>
    <x:row r="8">
      <x:c r="A8" s="71" t="str">
        <x:v>Blocked</x:v>
      </x:c>
      <x:c r="B8" s="72" t="n">
        <x:f>COUNTIF('Test Cases'!$I$6:$I$210,"Blocked")</x:f>
        <x:v>0</x:v>
      </x:c>
      <x:c r="D8" s="10" t="str">
        <x:v>Not Tested</x:v>
      </x:c>
      <x:c r="E8" s="12" t="n">
        <x:f>B9</x:f>
        <x:v>205</x:v>
      </x:c>
    </x:row>
    <x:row r="9">
      <x:c r="A9" s="71" t="str">
        <x:v>Not Tested</x:v>
      </x:c>
      <x:c r="B9" s="72" t="n">
        <x:f>COUNTIF('Test Cases'!$I$6:$I$210,"Not Tested")</x:f>
        <x:v>205</x:v>
      </x:c>
    </x:row>
    <x:row r="10">
      <x:c r="A10" s="73" t="str">
        <x:v>Execution Progress</x:v>
      </x:c>
      <x:c r="B10" s="74" t="n">
        <x:f>IF(B5=0,0,(B6+B7+B8)/B5)</x:f>
        <x:v>0</x:v>
      </x:c>
    </x:row>
    <x:row r="13">
      <x:c r="A13" s="63" t="str">
        <x:v>Modul</x:v>
      </x:c>
      <x:c r="B13" s="63" t="str">
        <x:v>Total</x:v>
      </x:c>
      <x:c r="C13" s="63" t="str">
        <x:v>Passed</x:v>
      </x:c>
      <x:c r="D13" s="63" t="str">
        <x:v>Failed</x:v>
      </x:c>
      <x:c r="E13" s="63" t="str">
        <x:v>Blocked</x:v>
      </x:c>
      <x:c r="F13" s="63" t="str">
        <x:v>Progress</x:v>
      </x:c>
    </x:row>
    <x:row r="14">
      <x:c r="A14" s="75" t="str">
        <x:v>Deployment</x:v>
      </x:c>
      <x:c r="B14" s="77" t="n">
        <x:f>COUNTIF('Test Cases'!$B$6:$B$210,A14)</x:f>
        <x:v>7</x:v>
      </x:c>
      <x:c r="C14" s="77" t="n">
        <x:f>COUNTIFS('Test Cases'!$B$6:$B$210,A14,'Test Cases'!$I$6:$I$210,"Passed")</x:f>
        <x:v>0</x:v>
      </x:c>
      <x:c r="D14" s="77" t="n">
        <x:f>COUNTIFS('Test Cases'!$B$6:$B$210,A14,'Test Cases'!$I$6:$I$210,"Failed")</x:f>
        <x:v>0</x:v>
      </x:c>
      <x:c r="E14" s="77" t="n">
        <x:f>COUNTIFS('Test Cases'!$B$6:$B$210,A14,'Test Cases'!$I$6:$I$210,"Blocked")</x:f>
        <x:v>0</x:v>
      </x:c>
      <x:c r="F14" s="78" t="n">
        <x:f>IF(B14=0,0,(C14+D14+E14)/B14)</x:f>
        <x:v>0</x:v>
      </x:c>
    </x:row>
    <x:row r="15">
      <x:c r="A15" s="7" t="str">
        <x:v>Landing Page</x:v>
      </x:c>
      <x:c r="B15" s="8" t="n">
        <x:f>COUNTIF('Test Cases'!$B$6:$B$210,A15)</x:f>
        <x:v>11</x:v>
      </x:c>
      <x:c r="C15" s="8" t="n">
        <x:f>COUNTIFS('Test Cases'!$B$6:$B$210,A15,'Test Cases'!$I$6:$I$210,"Passed")</x:f>
        <x:v>0</x:v>
      </x:c>
      <x:c r="D15" s="8" t="n">
        <x:f>COUNTIFS('Test Cases'!$B$6:$B$210,A15,'Test Cases'!$I$6:$I$210,"Failed")</x:f>
        <x:v>0</x:v>
      </x:c>
      <x:c r="E15" s="8" t="n">
        <x:f>COUNTIFS('Test Cases'!$B$6:$B$210,A15,'Test Cases'!$I$6:$I$210,"Blocked")</x:f>
        <x:v>0</x:v>
      </x:c>
      <x:c r="F15" s="79" t="n">
        <x:f>IF(B15=0,0,(C15+D15+E15)/B15)</x:f>
        <x:v>0</x:v>
      </x:c>
    </x:row>
    <x:row r="16">
      <x:c r="A16" s="7" t="str">
        <x:v>Peta Publik</x:v>
      </x:c>
      <x:c r="B16" s="8" t="n">
        <x:f>COUNTIF('Test Cases'!$B$6:$B$210,A16)</x:f>
        <x:v>13</x:v>
      </x:c>
      <x:c r="C16" s="8" t="n">
        <x:f>COUNTIFS('Test Cases'!$B$6:$B$210,A16,'Test Cases'!$I$6:$I$210,"Passed")</x:f>
        <x:v>0</x:v>
      </x:c>
      <x:c r="D16" s="8" t="n">
        <x:f>COUNTIFS('Test Cases'!$B$6:$B$210,A16,'Test Cases'!$I$6:$I$210,"Failed")</x:f>
        <x:v>0</x:v>
      </x:c>
      <x:c r="E16" s="8" t="n">
        <x:f>COUNTIFS('Test Cases'!$B$6:$B$210,A16,'Test Cases'!$I$6:$I$210,"Blocked")</x:f>
        <x:v>0</x:v>
      </x:c>
      <x:c r="F16" s="79" t="n">
        <x:f>IF(B16=0,0,(C16+D16+E16)/B16)</x:f>
        <x:v>0</x:v>
      </x:c>
    </x:row>
    <x:row r="17">
      <x:c r="A17" s="7" t="str">
        <x:v>Autentikasi</x:v>
      </x:c>
      <x:c r="B17" s="8" t="n">
        <x:f>COUNTIF('Test Cases'!$B$6:$B$210,A17)</x:f>
        <x:v>12</x:v>
      </x:c>
      <x:c r="C17" s="8" t="n">
        <x:f>COUNTIFS('Test Cases'!$B$6:$B$210,A17,'Test Cases'!$I$6:$I$210,"Passed")</x:f>
        <x:v>0</x:v>
      </x:c>
      <x:c r="D17" s="8" t="n">
        <x:f>COUNTIFS('Test Cases'!$B$6:$B$210,A17,'Test Cases'!$I$6:$I$210,"Failed")</x:f>
        <x:v>0</x:v>
      </x:c>
      <x:c r="E17" s="8" t="n">
        <x:f>COUNTIFS('Test Cases'!$B$6:$B$210,A17,'Test Cases'!$I$6:$I$210,"Blocked")</x:f>
        <x:v>0</x:v>
      </x:c>
      <x:c r="F17" s="79" t="n">
        <x:f>IF(B17=0,0,(C17+D17+E17)/B17)</x:f>
        <x:v>0</x:v>
      </x:c>
    </x:row>
    <x:row r="18">
      <x:c r="A18" s="7" t="str">
        <x:v>Otorisasi</x:v>
      </x:c>
      <x:c r="B18" s="8" t="n">
        <x:f>COUNTIF('Test Cases'!$B$6:$B$210,A18)</x:f>
        <x:v>8</x:v>
      </x:c>
      <x:c r="C18" s="8" t="n">
        <x:f>COUNTIFS('Test Cases'!$B$6:$B$210,A18,'Test Cases'!$I$6:$I$210,"Passed")</x:f>
        <x:v>0</x:v>
      </x:c>
      <x:c r="D18" s="8" t="n">
        <x:f>COUNTIFS('Test Cases'!$B$6:$B$210,A18,'Test Cases'!$I$6:$I$210,"Failed")</x:f>
        <x:v>0</x:v>
      </x:c>
      <x:c r="E18" s="8" t="n">
        <x:f>COUNTIFS('Test Cases'!$B$6:$B$210,A18,'Test Cases'!$I$6:$I$210,"Blocked")</x:f>
        <x:v>0</x:v>
      </x:c>
      <x:c r="F18" s="79" t="n">
        <x:f>IF(B18=0,0,(C18+D18+E18)/B18)</x:f>
        <x:v>0</x:v>
      </x:c>
    </x:row>
    <x:row r="19">
      <x:c r="A19" s="7" t="str">
        <x:v>Dashboard</x:v>
      </x:c>
      <x:c r="B19" s="8" t="n">
        <x:f>COUNTIF('Test Cases'!$B$6:$B$210,A19)</x:f>
        <x:v>8</x:v>
      </x:c>
      <x:c r="C19" s="8" t="n">
        <x:f>COUNTIFS('Test Cases'!$B$6:$B$210,A19,'Test Cases'!$I$6:$I$210,"Passed")</x:f>
        <x:v>0</x:v>
      </x:c>
      <x:c r="D19" s="8" t="n">
        <x:f>COUNTIFS('Test Cases'!$B$6:$B$210,A19,'Test Cases'!$I$6:$I$210,"Failed")</x:f>
        <x:v>0</x:v>
      </x:c>
      <x:c r="E19" s="8" t="n">
        <x:f>COUNTIFS('Test Cases'!$B$6:$B$210,A19,'Test Cases'!$I$6:$I$210,"Blocked")</x:f>
        <x:v>0</x:v>
      </x:c>
      <x:c r="F19" s="79" t="n">
        <x:f>IF(B19=0,0,(C19+D19+E19)/B19)</x:f>
        <x:v>0</x:v>
      </x:c>
    </x:row>
    <x:row r="20">
      <x:c r="A20" s="7" t="str">
        <x:v>Data Legal</x:v>
      </x:c>
      <x:c r="B20" s="8" t="n">
        <x:f>COUNTIF('Test Cases'!$B$6:$B$210,A20)</x:f>
        <x:v>9</x:v>
      </x:c>
      <x:c r="C20" s="8" t="n">
        <x:f>COUNTIFS('Test Cases'!$B$6:$B$210,A20,'Test Cases'!$I$6:$I$210,"Passed")</x:f>
        <x:v>0</x:v>
      </x:c>
      <x:c r="D20" s="8" t="n">
        <x:f>COUNTIFS('Test Cases'!$B$6:$B$210,A20,'Test Cases'!$I$6:$I$210,"Failed")</x:f>
        <x:v>0</x:v>
      </x:c>
      <x:c r="E20" s="8" t="n">
        <x:f>COUNTIFS('Test Cases'!$B$6:$B$210,A20,'Test Cases'!$I$6:$I$210,"Blocked")</x:f>
        <x:v>0</x:v>
      </x:c>
      <x:c r="F20" s="79" t="n">
        <x:f>IF(B20=0,0,(C20+D20+E20)/B20)</x:f>
        <x:v>0</x:v>
      </x:c>
    </x:row>
    <x:row r="21">
      <x:c r="A21" s="7" t="str">
        <x:v>Data Fisik</x:v>
      </x:c>
      <x:c r="B21" s="8" t="n">
        <x:f>COUNTIF('Test Cases'!$B$6:$B$210,A21)</x:f>
        <x:v>9</x:v>
      </x:c>
      <x:c r="C21" s="8" t="n">
        <x:f>COUNTIFS('Test Cases'!$B$6:$B$210,A21,'Test Cases'!$I$6:$I$210,"Passed")</x:f>
        <x:v>0</x:v>
      </x:c>
      <x:c r="D21" s="8" t="n">
        <x:f>COUNTIFS('Test Cases'!$B$6:$B$210,A21,'Test Cases'!$I$6:$I$210,"Failed")</x:f>
        <x:v>0</x:v>
      </x:c>
      <x:c r="E21" s="8" t="n">
        <x:f>COUNTIFS('Test Cases'!$B$6:$B$210,A21,'Test Cases'!$I$6:$I$210,"Blocked")</x:f>
        <x:v>0</x:v>
      </x:c>
      <x:c r="F21" s="79" t="n">
        <x:f>IF(B21=0,0,(C21+D21+E21)/B21)</x:f>
        <x:v>0</x:v>
      </x:c>
    </x:row>
    <x:row r="22">
      <x:c r="A22" s="7" t="str">
        <x:v>Data Administratif</x:v>
      </x:c>
      <x:c r="B22" s="8" t="n">
        <x:f>COUNTIF('Test Cases'!$B$6:$B$210,A22)</x:f>
        <x:v>9</x:v>
      </x:c>
      <x:c r="C22" s="8" t="n">
        <x:f>COUNTIFS('Test Cases'!$B$6:$B$210,A22,'Test Cases'!$I$6:$I$210,"Passed")</x:f>
        <x:v>0</x:v>
      </x:c>
      <x:c r="D22" s="8" t="n">
        <x:f>COUNTIFS('Test Cases'!$B$6:$B$210,A22,'Test Cases'!$I$6:$I$210,"Failed")</x:f>
        <x:v>0</x:v>
      </x:c>
      <x:c r="E22" s="8" t="n">
        <x:f>COUNTIFS('Test Cases'!$B$6:$B$210,A22,'Test Cases'!$I$6:$I$210,"Blocked")</x:f>
        <x:v>0</x:v>
      </x:c>
      <x:c r="F22" s="79" t="n">
        <x:f>IF(B22=0,0,(C22+D22+E22)/B22)</x:f>
        <x:v>0</x:v>
      </x:c>
    </x:row>
    <x:row r="23">
      <x:c r="A23" s="7" t="str">
        <x:v>Data Pajak</x:v>
      </x:c>
      <x:c r="B23" s="8" t="n">
        <x:f>COUNTIF('Test Cases'!$B$6:$B$210,A23)</x:f>
        <x:v>17</x:v>
      </x:c>
      <x:c r="C23" s="8" t="n">
        <x:f>COUNTIFS('Test Cases'!$B$6:$B$210,A23,'Test Cases'!$I$6:$I$210,"Passed")</x:f>
        <x:v>0</x:v>
      </x:c>
      <x:c r="D23" s="8" t="n">
        <x:f>COUNTIFS('Test Cases'!$B$6:$B$210,A23,'Test Cases'!$I$6:$I$210,"Failed")</x:f>
        <x:v>0</x:v>
      </x:c>
      <x:c r="E23" s="8" t="n">
        <x:f>COUNTIFS('Test Cases'!$B$6:$B$210,A23,'Test Cases'!$I$6:$I$210,"Blocked")</x:f>
        <x:v>0</x:v>
      </x:c>
      <x:c r="F23" s="79" t="n">
        <x:f>IF(B23=0,0,(C23+D23+E23)/B23)</x:f>
        <x:v>0</x:v>
      </x:c>
    </x:row>
    <x:row r="24">
      <x:c r="A24" s="7" t="str">
        <x:v>Data KIB</x:v>
      </x:c>
      <x:c r="B24" s="8" t="n">
        <x:f>COUNTIF('Test Cases'!$B$6:$B$210,A24)</x:f>
        <x:v>9</x:v>
      </x:c>
      <x:c r="C24" s="8" t="n">
        <x:f>COUNTIFS('Test Cases'!$B$6:$B$210,A24,'Test Cases'!$I$6:$I$210,"Passed")</x:f>
        <x:v>0</x:v>
      </x:c>
      <x:c r="D24" s="8" t="n">
        <x:f>COUNTIFS('Test Cases'!$B$6:$B$210,A24,'Test Cases'!$I$6:$I$210,"Failed")</x:f>
        <x:v>0</x:v>
      </x:c>
      <x:c r="E24" s="8" t="n">
        <x:f>COUNTIFS('Test Cases'!$B$6:$B$210,A24,'Test Cases'!$I$6:$I$210,"Blocked")</x:f>
        <x:v>0</x:v>
      </x:c>
      <x:c r="F24" s="79" t="n">
        <x:f>IF(B24=0,0,(C24+D24+E24)/B24)</x:f>
        <x:v>0</x:v>
      </x:c>
    </x:row>
    <x:row r="25">
      <x:c r="A25" s="7" t="str">
        <x:v>Pusat Data</x:v>
      </x:c>
      <x:c r="B25" s="8" t="n">
        <x:f>COUNTIF('Test Cases'!$B$6:$B$210,A25)</x:f>
        <x:v>14</x:v>
      </x:c>
      <x:c r="C25" s="8" t="n">
        <x:f>COUNTIFS('Test Cases'!$B$6:$B$210,A25,'Test Cases'!$I$6:$I$210,"Passed")</x:f>
        <x:v>0</x:v>
      </x:c>
      <x:c r="D25" s="8" t="n">
        <x:f>COUNTIFS('Test Cases'!$B$6:$B$210,A25,'Test Cases'!$I$6:$I$210,"Failed")</x:f>
        <x:v>0</x:v>
      </x:c>
      <x:c r="E25" s="8" t="n">
        <x:f>COUNTIFS('Test Cases'!$B$6:$B$210,A25,'Test Cases'!$I$6:$I$210,"Blocked")</x:f>
        <x:v>0</x:v>
      </x:c>
      <x:c r="F25" s="79" t="n">
        <x:f>IF(B25=0,0,(C25+D25+E25)/B25)</x:f>
        <x:v>0</x:v>
      </x:c>
    </x:row>
    <x:row r="26">
      <x:c r="A26" s="7" t="str">
        <x:v>Kelola 2D</x:v>
      </x:c>
      <x:c r="B26" s="8" t="n">
        <x:f>COUNTIF('Test Cases'!$B$6:$B$210,A26)</x:f>
        <x:v>14</x:v>
      </x:c>
      <x:c r="C26" s="8" t="n">
        <x:f>COUNTIFS('Test Cases'!$B$6:$B$210,A26,'Test Cases'!$I$6:$I$210,"Passed")</x:f>
        <x:v>0</x:v>
      </x:c>
      <x:c r="D26" s="8" t="n">
        <x:f>COUNTIFS('Test Cases'!$B$6:$B$210,A26,'Test Cases'!$I$6:$I$210,"Failed")</x:f>
        <x:v>0</x:v>
      </x:c>
      <x:c r="E26" s="8" t="n">
        <x:f>COUNTIFS('Test Cases'!$B$6:$B$210,A26,'Test Cases'!$I$6:$I$210,"Blocked")</x:f>
        <x:v>0</x:v>
      </x:c>
      <x:c r="F26" s="79" t="n">
        <x:f>IF(B26=0,0,(C26+D26+E26)/B26)</x:f>
        <x:v>0</x:v>
      </x:c>
    </x:row>
    <x:row r="27">
      <x:c r="A27" s="7" t="str">
        <x:v>Kelola 3D</x:v>
      </x:c>
      <x:c r="B27" s="8" t="n">
        <x:f>COUNTIF('Test Cases'!$B$6:$B$210,A27)</x:f>
        <x:v>16</x:v>
      </x:c>
      <x:c r="C27" s="8" t="n">
        <x:f>COUNTIFS('Test Cases'!$B$6:$B$210,A27,'Test Cases'!$I$6:$I$210,"Passed")</x:f>
        <x:v>0</x:v>
      </x:c>
      <x:c r="D27" s="8" t="n">
        <x:f>COUNTIFS('Test Cases'!$B$6:$B$210,A27,'Test Cases'!$I$6:$I$210,"Failed")</x:f>
        <x:v>0</x:v>
      </x:c>
      <x:c r="E27" s="8" t="n">
        <x:f>COUNTIFS('Test Cases'!$B$6:$B$210,A27,'Test Cases'!$I$6:$I$210,"Blocked")</x:f>
        <x:v>0</x:v>
      </x:c>
      <x:c r="F27" s="79" t="n">
        <x:f>IF(B27=0,0,(C27+D27+E27)/B27)</x:f>
        <x:v>0</x:v>
      </x:c>
    </x:row>
    <x:row r="28">
      <x:c r="A28" s="7" t="str">
        <x:v>Penyewaan</x:v>
      </x:c>
      <x:c r="B28" s="8" t="n">
        <x:f>COUNTIF('Test Cases'!$B$6:$B$210,A28)</x:f>
        <x:v>10</x:v>
      </x:c>
      <x:c r="C28" s="8" t="n">
        <x:f>COUNTIFS('Test Cases'!$B$6:$B$210,A28,'Test Cases'!$I$6:$I$210,"Passed")</x:f>
        <x:v>0</x:v>
      </x:c>
      <x:c r="D28" s="8" t="n">
        <x:f>COUNTIFS('Test Cases'!$B$6:$B$210,A28,'Test Cases'!$I$6:$I$210,"Failed")</x:f>
        <x:v>0</x:v>
      </x:c>
      <x:c r="E28" s="8" t="n">
        <x:f>COUNTIFS('Test Cases'!$B$6:$B$210,A28,'Test Cases'!$I$6:$I$210,"Blocked")</x:f>
        <x:v>0</x:v>
      </x:c>
      <x:c r="F28" s="79" t="n">
        <x:f>IF(B28=0,0,(C28+D28+E28)/B28)</x:f>
        <x:v>0</x:v>
      </x:c>
    </x:row>
    <x:row r="29">
      <x:c r="A29" s="7" t="str">
        <x:v>Upload</x:v>
      </x:c>
      <x:c r="B29" s="8" t="n">
        <x:f>COUNTIF('Test Cases'!$B$6:$B$210,A29)</x:f>
        <x:v>8</x:v>
      </x:c>
      <x:c r="C29" s="8" t="n">
        <x:f>COUNTIFS('Test Cases'!$B$6:$B$210,A29,'Test Cases'!$I$6:$I$210,"Passed")</x:f>
        <x:v>0</x:v>
      </x:c>
      <x:c r="D29" s="8" t="n">
        <x:f>COUNTIFS('Test Cases'!$B$6:$B$210,A29,'Test Cases'!$I$6:$I$210,"Failed")</x:f>
        <x:v>0</x:v>
      </x:c>
      <x:c r="E29" s="8" t="n">
        <x:f>COUNTIFS('Test Cases'!$B$6:$B$210,A29,'Test Cases'!$I$6:$I$210,"Blocked")</x:f>
        <x:v>0</x:v>
      </x:c>
      <x:c r="F29" s="79" t="n">
        <x:f>IF(B29=0,0,(C29+D29+E29)/B29)</x:f>
        <x:v>0</x:v>
      </x:c>
    </x:row>
    <x:row r="30">
      <x:c r="A30" s="7" t="str">
        <x:v>UX &amp; Responsif</x:v>
      </x:c>
      <x:c r="B30" s="8" t="n">
        <x:f>COUNTIF('Test Cases'!$B$6:$B$210,A30)</x:f>
        <x:v>10</x:v>
      </x:c>
      <x:c r="C30" s="8" t="n">
        <x:f>COUNTIFS('Test Cases'!$B$6:$B$210,A30,'Test Cases'!$I$6:$I$210,"Passed")</x:f>
        <x:v>0</x:v>
      </x:c>
      <x:c r="D30" s="8" t="n">
        <x:f>COUNTIFS('Test Cases'!$B$6:$B$210,A30,'Test Cases'!$I$6:$I$210,"Failed")</x:f>
        <x:v>0</x:v>
      </x:c>
      <x:c r="E30" s="8" t="n">
        <x:f>COUNTIFS('Test Cases'!$B$6:$B$210,A30,'Test Cases'!$I$6:$I$210,"Blocked")</x:f>
        <x:v>0</x:v>
      </x:c>
      <x:c r="F30" s="79" t="n">
        <x:f>IF(B30=0,0,(C30+D30+E30)/B30)</x:f>
        <x:v>0</x:v>
      </x:c>
    </x:row>
    <x:row r="31">
      <x:c r="A31" s="7" t="str">
        <x:v>API &amp; Security</x:v>
      </x:c>
      <x:c r="B31" s="8" t="n">
        <x:f>COUNTIF('Test Cases'!$B$6:$B$210,A31)</x:f>
        <x:v>14</x:v>
      </x:c>
      <x:c r="C31" s="8" t="n">
        <x:f>COUNTIFS('Test Cases'!$B$6:$B$210,A31,'Test Cases'!$I$6:$I$210,"Passed")</x:f>
        <x:v>0</x:v>
      </x:c>
      <x:c r="D31" s="8" t="n">
        <x:f>COUNTIFS('Test Cases'!$B$6:$B$210,A31,'Test Cases'!$I$6:$I$210,"Failed")</x:f>
        <x:v>0</x:v>
      </x:c>
      <x:c r="E31" s="8" t="n">
        <x:f>COUNTIFS('Test Cases'!$B$6:$B$210,A31,'Test Cases'!$I$6:$I$210,"Blocked")</x:f>
        <x:v>0</x:v>
      </x:c>
      <x:c r="F31" s="79" t="n">
        <x:f>IF(B31=0,0,(C31+D31+E31)/B31)</x:f>
        <x:v>0</x:v>
      </x:c>
    </x:row>
    <x:row r="32">
      <x:c r="A32" s="10" t="str">
        <x:v>Performa &amp; Recovery</x:v>
      </x:c>
      <x:c r="B32" s="11" t="n">
        <x:f>COUNTIF('Test Cases'!$B$6:$B$210,A32)</x:f>
        <x:v>7</x:v>
      </x:c>
      <x:c r="C32" s="11" t="n">
        <x:f>COUNTIFS('Test Cases'!$B$6:$B$210,A32,'Test Cases'!$I$6:$I$210,"Passed")</x:f>
        <x:v>0</x:v>
      </x:c>
      <x:c r="D32" s="11" t="n">
        <x:f>COUNTIFS('Test Cases'!$B$6:$B$210,A32,'Test Cases'!$I$6:$I$210,"Failed")</x:f>
        <x:v>0</x:v>
      </x:c>
      <x:c r="E32" s="11" t="n">
        <x:f>COUNTIFS('Test Cases'!$B$6:$B$210,A32,'Test Cases'!$I$6:$I$210,"Blocked")</x:f>
        <x:v>0</x:v>
      </x:c>
      <x:c r="F32" s="80" t="n">
        <x:f>IF(B32=0,0,(C32+D32+E32)/B32)</x:f>
        <x:v>0</x:v>
      </x:c>
    </x:row>
  </x:sheetData>
  <x:mergeCells>
    <x:mergeCell ref="A1:N2"/>
  </x:mergeCells>
  <x:conditionalFormatting sqref="F14:F32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{81FE4D25-DF89-1729-D561-C4A0EA63B5C7}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e66704cb74c49e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1FE4D25-DF89-1729-D561-C4A0EA63B5C7}">
            <x14:dataBar gradient="1">
              <x14:cfvo type="min"/>
              <x14:cfvo type="max"/>
              <x14:fillColor rgb="FF0F766E"/>
            </x14:dataBar>
          </x14:cfRule>
          <xm:sqref>F14:F32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16" hidden="0" customWidth="1"/>
    <x:col min="5" max="5" width="34" hidden="0" customWidth="1"/>
    <x:col min="6" max="6" width="18" hidden="0" customWidth="1"/>
    <x:col min="7" max="7" width="44" hidden="0" customWidth="1"/>
  </x:cols>
  <x:sheetData>
    <x:row r="1">
      <x:c r="A1" s="40" t="str">
        <x:v>TEST DATA — BHUMI SATYA</x:v>
      </x:c>
      <x:c r="B1" s="40" t="str">
        <x:v>TEST DATA — BHUMI SATYA</x:v>
      </x:c>
      <x:c r="C1" s="40" t="str">
        <x:v>TEST DATA — BHUMI SATYA</x:v>
      </x:c>
      <x:c r="D1" s="40" t="str">
        <x:v>TEST DATA — BHUMI SATYA</x:v>
      </x:c>
      <x:c r="E1" s="40" t="str">
        <x:v>TEST DATA — BHUMI SATYA</x:v>
      </x:c>
      <x:c r="F1" s="40" t="str">
        <x:v>TEST DATA — BHUMI SATYA</x:v>
      </x:c>
      <x:c r="G1" s="40" t="str">
        <x:v>TEST DATA — BHUMI SATYA</x:v>
      </x:c>
    </x:row>
    <x:row r="2">
      <x:c r="A2" s="40" t="str">
        <x:v>TEST DATA — BHUMI SATYA</x:v>
      </x:c>
      <x:c r="B2" s="40" t="str">
        <x:v>TEST DATA — BHUMI SATYA</x:v>
      </x:c>
      <x:c r="C2" s="40" t="str">
        <x:v>TEST DATA — BHUMI SATYA</x:v>
      </x:c>
      <x:c r="D2" s="40" t="str">
        <x:v>TEST DATA — BHUMI SATYA</x:v>
      </x:c>
      <x:c r="E2" s="40" t="str">
        <x:v>TEST DATA — BHUMI SATYA</x:v>
      </x:c>
      <x:c r="F2" s="40" t="str">
        <x:v>TEST DATA — BHUMI SATYA</x:v>
      </x:c>
      <x:c r="G2" s="40" t="str">
        <x:v>TEST DATA — BHUMI SATYA</x:v>
      </x:c>
    </x:row>
    <x:row r="3">
      <x:c r="A3" s="62" t="str">
        <x:v>Jangan menyimpan password, JWT, API key, OTP, atau kredensial produksi pada file ini.</x:v>
      </x:c>
      <x:c r="B3" s="62" t="str">
        <x:v>Jangan menyimpan password, JWT, API key, OTP, atau kredensial produksi pada file ini.</x:v>
      </x:c>
      <x:c r="C3" s="62" t="str">
        <x:v>Jangan menyimpan password, JWT, API key, OTP, atau kredensial produksi pada file ini.</x:v>
      </x:c>
      <x:c r="D3" s="62" t="str">
        <x:v>Jangan menyimpan password, JWT, API key, OTP, atau kredensial produksi pada file ini.</x:v>
      </x:c>
      <x:c r="E3" s="62" t="str">
        <x:v>Jangan menyimpan password, JWT, API key, OTP, atau kredensial produksi pada file ini.</x:v>
      </x:c>
      <x:c r="F3" s="62" t="str">
        <x:v>Jangan menyimpan password, JWT, API key, OTP, atau kredensial produksi pada file ini.</x:v>
      </x:c>
      <x:c r="G3" s="62" t="str">
        <x:v>Jangan menyimpan password, JWT, API key, OTP, atau kredensial produksi pada file ini.</x:v>
      </x:c>
    </x:row>
    <x:row r="5">
      <x:c r="A5" s="63" t="str">
        <x:v>Data ID</x:v>
      </x:c>
      <x:c r="B5" s="63" t="str">
        <x:v>Kategori</x:v>
      </x:c>
      <x:c r="C5" s="63" t="str">
        <x:v>Identifier / Kode</x:v>
      </x:c>
      <x:c r="D5" s="63" t="str">
        <x:v>Role</x:v>
      </x:c>
      <x:c r="E5" s="63" t="str">
        <x:v>Tujuan</x:v>
      </x:c>
      <x:c r="F5" s="63" t="str">
        <x:v>Boleh Dibersihkan</x:v>
      </x:c>
      <x:c r="G5" s="63" t="str">
        <x:v>Catatan</x:v>
      </x:c>
    </x:row>
    <x:row r="6" ht="42" customHeight="1">
      <x:c r="A6" s="58" t="str">
        <x:v>TD-001</x:v>
      </x:c>
      <x:c r="B6" s="58" t="str">
        <x:v>Akun</x:v>
      </x:c>
      <x:c r="C6" s="58" t="str">
        <x:v>qa.admin@example.test</x:v>
      </x:c>
      <x:c r="D6" s="58" t="str">
        <x:v>Admin</x:v>
      </x:c>
      <x:c r="E6" s="58" t="str">
        <x:v>Login dan pengelolaan</x:v>
      </x:c>
      <x:c r="F6" s="58" t="str">
        <x:v>Tidak</x:v>
      </x:c>
      <x:c r="G6" s="58" t="str">
        <x:v>Buat akun QA terpisah; password disimpan di password manager</x:v>
      </x:c>
    </x:row>
    <x:row r="7" ht="42" customHeight="1">
      <x:c r="A7" s="58" t="str">
        <x:v>TD-002</x:v>
      </x:c>
      <x:c r="B7" s="58" t="str">
        <x:v>Akun</x:v>
      </x:c>
      <x:c r="C7" s="58" t="str">
        <x:v>qa.masyarakat@example.test</x:v>
      </x:c>
      <x:c r="D7" s="58" t="str">
        <x:v>Masyarakat</x:v>
      </x:c>
      <x:c r="E7" s="58" t="str">
        <x:v>Login dan otorisasi</x:v>
      </x:c>
      <x:c r="F7" s="58" t="str">
        <x:v>Tidak</x:v>
      </x:c>
      <x:c r="G7" s="58" t="str">
        <x:v>Jangan menggunakan akun pengguna nyata</x:v>
      </x:c>
    </x:row>
    <x:row r="8" ht="42" customHeight="1">
      <x:c r="A8" s="58" t="str">
        <x:v>TD-003</x:v>
      </x:c>
      <x:c r="B8" s="58" t="str">
        <x:v>Data</x:v>
      </x:c>
      <x:c r="C8" s="58" t="str">
        <x:v>QA-TEST-2D-001</x:v>
      </x:c>
      <x:c r="D8" s="58" t="str">
        <x:v>Admin</x:v>
      </x:c>
      <x:c r="E8" s="58" t="str">
        <x:v>GeoJSON dan fly-to</x:v>
      </x:c>
      <x:c r="F8" s="58" t="str">
        <x:v>Ya</x:v>
      </x:c>
      <x:c r="G8" s="58" t="str">
        <x:v>Gunakan polygon kecil di area yang diketahui</x:v>
      </x:c>
    </x:row>
    <x:row r="9" ht="42" customHeight="1">
      <x:c r="A9" s="58" t="str">
        <x:v>TD-004</x:v>
      </x:c>
      <x:c r="B9" s="58" t="str">
        <x:v>Data</x:v>
      </x:c>
      <x:c r="C9" s="58" t="str">
        <x:v>QA-TEST-3D-001</x:v>
      </x:c>
      <x:c r="D9" s="58" t="str">
        <x:v>Admin</x:v>
      </x:c>
      <x:c r="E9" s="58" t="str">
        <x:v>Model 3D</x:v>
      </x:c>
      <x:c r="F9" s="58" t="str">
        <x:v>Ya</x:v>
      </x:c>
      <x:c r="G9" s="58" t="str">
        <x:v>Gunakan GLB/KMZ berukuran kecil</x:v>
      </x:c>
    </x:row>
    <x:row r="10" ht="42" customHeight="1">
      <x:c r="A10" s="58" t="str">
        <x:v>TD-005</x:v>
      </x:c>
      <x:c r="B10" s="58" t="str">
        <x:v>Data</x:v>
      </x:c>
      <x:c r="C10" s="58" t="str">
        <x:v>QA-TEST-PAJAK-001</x:v>
      </x:c>
      <x:c r="D10" s="58" t="str">
        <x:v>Admin</x:v>
      </x:c>
      <x:c r="E10" s="58" t="str">
        <x:v>Validasi angka dan format</x:v>
      </x:c>
      <x:c r="F10" s="58" t="str">
        <x:v>Ya</x:v>
      </x:c>
      <x:c r="G10" s="58" t="str">
        <x:v>Gunakan nilai fiktif yang mudah dikenali</x:v>
      </x:c>
    </x:row>
    <x:row r="11" ht="42" customHeight="1">
      <x:c r="A11" s="58" t="str">
        <x:v>TD-006</x:v>
      </x:c>
      <x:c r="B11" s="58" t="str">
        <x:v>Data</x:v>
      </x:c>
      <x:c r="C11" s="58" t="str">
        <x:v>QA-TEST-SEWA-001</x:v>
      </x:c>
      <x:c r="D11" s="58" t="str">
        <x:v>Masyarakat</x:v>
      </x:c>
      <x:c r="E11" s="58" t="str">
        <x:v>Alur penyewaan</x:v>
      </x:c>
      <x:c r="F11" s="58" t="str">
        <x:v>Ya</x:v>
      </x:c>
      <x:c r="G11" s="58" t="str">
        <x:v>Jangan memakai identitas pribadi nyata</x:v>
      </x:c>
    </x:row>
    <x:row r="12" ht="42" customHeight="1">
      <x:c r="A12" s="58" t="str">
        <x:v>TD-007</x:v>
      </x:c>
      <x:c r="B12" s="58" t="str">
        <x:v>File</x:v>
      </x:c>
      <x:c r="C12" s="58" t="str">
        <x:v>qa-kondisi.webp</x:v>
      </x:c>
      <x:c r="D12" s="58" t="str">
        <x:v>Admin</x:v>
      </x:c>
      <x:c r="E12" s="58" t="str">
        <x:v>Upload foto</x:v>
      </x:c>
      <x:c r="F12" s="58" t="str">
        <x:v>Ya</x:v>
      </x:c>
      <x:c r="G12" s="58" t="str">
        <x:v>Gunakan gambar non-sensitif</x:v>
      </x:c>
    </x:row>
    <x:row r="13" ht="42" customHeight="1">
      <x:c r="A13" s="58"/>
      <x:c r="B13" s="58"/>
      <x:c r="C13" s="58"/>
      <x:c r="D13" s="58"/>
      <x:c r="E13" s="58"/>
      <x:c r="F13" s="58"/>
      <x:c r="G13" s="58"/>
    </x:row>
    <x:row r="14" ht="42" customHeight="1">
      <x:c r="A14" s="58"/>
      <x:c r="B14" s="58"/>
      <x:c r="C14" s="58"/>
      <x:c r="D14" s="58"/>
      <x:c r="E14" s="58"/>
      <x:c r="F14" s="58"/>
      <x:c r="G14" s="58"/>
    </x:row>
    <x:row r="15" ht="42" customHeight="1">
      <x:c r="A15" s="58"/>
      <x:c r="B15" s="58"/>
      <x:c r="C15" s="58"/>
      <x:c r="D15" s="58"/>
      <x:c r="E15" s="58"/>
      <x:c r="F15" s="58"/>
      <x:c r="G15" s="58"/>
    </x:row>
    <x:row r="16" ht="42" customHeight="1">
      <x:c r="A16" s="58"/>
      <x:c r="B16" s="58"/>
      <x:c r="C16" s="58"/>
      <x:c r="D16" s="58"/>
      <x:c r="E16" s="58"/>
      <x:c r="F16" s="58"/>
      <x:c r="G16" s="58"/>
    </x:row>
    <x:row r="17" ht="42" customHeight="1">
      <x:c r="A17" s="58"/>
      <x:c r="B17" s="58"/>
      <x:c r="C17" s="58"/>
      <x:c r="D17" s="58"/>
      <x:c r="E17" s="58"/>
      <x:c r="F17" s="58"/>
      <x:c r="G17" s="58"/>
    </x:row>
    <x:row r="18" ht="42" customHeight="1">
      <x:c r="A18" s="58"/>
      <x:c r="B18" s="58"/>
      <x:c r="C18" s="58"/>
      <x:c r="D18" s="58"/>
      <x:c r="E18" s="58"/>
      <x:c r="F18" s="58"/>
      <x:c r="G18" s="58"/>
    </x:row>
    <x:row r="19" ht="42" customHeight="1">
      <x:c r="A19" s="58"/>
      <x:c r="B19" s="58"/>
      <x:c r="C19" s="58"/>
      <x:c r="D19" s="58"/>
      <x:c r="E19" s="58"/>
      <x:c r="F19" s="58"/>
      <x:c r="G19" s="58"/>
    </x:row>
    <x:row r="20" ht="42" customHeight="1">
      <x:c r="A20" s="58"/>
      <x:c r="B20" s="58"/>
      <x:c r="C20" s="58"/>
      <x:c r="D20" s="58"/>
      <x:c r="E20" s="58"/>
      <x:c r="F20" s="58"/>
      <x:c r="G20" s="58"/>
    </x:row>
    <x:row r="21" ht="42" customHeight="1">
      <x:c r="A21" s="58"/>
      <x:c r="B21" s="58"/>
      <x:c r="C21" s="58"/>
      <x:c r="D21" s="58"/>
      <x:c r="E21" s="58"/>
      <x:c r="F21" s="58"/>
      <x:c r="G21" s="58"/>
    </x:row>
    <x:row r="22" ht="42" customHeight="1">
      <x:c r="A22" s="58"/>
      <x:c r="B22" s="58"/>
      <x:c r="C22" s="58"/>
      <x:c r="D22" s="58"/>
      <x:c r="E22" s="58"/>
      <x:c r="F22" s="58"/>
      <x:c r="G22" s="58"/>
    </x:row>
    <x:row r="23" ht="42" customHeight="1">
      <x:c r="A23" s="58"/>
      <x:c r="B23" s="58"/>
      <x:c r="C23" s="58"/>
      <x:c r="D23" s="58"/>
      <x:c r="E23" s="58"/>
      <x:c r="F23" s="58"/>
      <x:c r="G23" s="58"/>
    </x:row>
    <x:row r="24" ht="42" customHeight="1">
      <x:c r="A24" s="58"/>
      <x:c r="B24" s="58"/>
      <x:c r="C24" s="58"/>
      <x:c r="D24" s="58"/>
      <x:c r="E24" s="58"/>
      <x:c r="F24" s="58"/>
      <x:c r="G24" s="58"/>
    </x:row>
    <x:row r="25" ht="42" customHeight="1">
      <x:c r="A25" s="58"/>
      <x:c r="B25" s="58"/>
      <x:c r="C25" s="58"/>
      <x:c r="D25" s="58"/>
      <x:c r="E25" s="58"/>
      <x:c r="F25" s="58"/>
      <x:c r="G25" s="58"/>
    </x:row>
    <x:row r="26" ht="42" customHeight="1">
      <x:c r="A26" s="58"/>
      <x:c r="B26" s="58"/>
      <x:c r="C26" s="58"/>
      <x:c r="D26" s="58"/>
      <x:c r="E26" s="58"/>
      <x:c r="F26" s="58"/>
      <x:c r="G26" s="58"/>
    </x:row>
    <x:row r="27" ht="42" customHeight="1">
      <x:c r="A27" s="58"/>
      <x:c r="B27" s="58"/>
      <x:c r="C27" s="58"/>
      <x:c r="D27" s="58"/>
      <x:c r="E27" s="58"/>
      <x:c r="F27" s="58"/>
      <x:c r="G27" s="58"/>
    </x:row>
    <x:row r="28" ht="42" customHeight="1">
      <x:c r="A28" s="58"/>
      <x:c r="B28" s="58"/>
      <x:c r="C28" s="58"/>
      <x:c r="D28" s="58"/>
      <x:c r="E28" s="58"/>
      <x:c r="F28" s="58"/>
      <x:c r="G28" s="58"/>
    </x:row>
    <x:row r="29" ht="42" customHeight="1">
      <x:c r="A29" s="58"/>
      <x:c r="B29" s="58"/>
      <x:c r="C29" s="58"/>
      <x:c r="D29" s="58"/>
      <x:c r="E29" s="58"/>
      <x:c r="F29" s="58"/>
      <x:c r="G29" s="58"/>
    </x:row>
    <x:row r="30" ht="42" customHeight="1">
      <x:c r="A30" s="58"/>
      <x:c r="B30" s="58"/>
      <x:c r="C30" s="58"/>
      <x:c r="D30" s="58"/>
      <x:c r="E30" s="58"/>
      <x:c r="F30" s="58"/>
      <x:c r="G30" s="58"/>
    </x:row>
    <x:row r="31" ht="42" customHeight="1">
      <x:c r="A31" s="58"/>
      <x:c r="B31" s="58"/>
      <x:c r="C31" s="58"/>
      <x:c r="D31" s="58"/>
      <x:c r="E31" s="58"/>
      <x:c r="F31" s="58"/>
      <x:c r="G31" s="58"/>
    </x:row>
    <x:row r="32" ht="42" customHeight="1">
      <x:c r="A32" s="58"/>
      <x:c r="B32" s="58"/>
      <x:c r="C32" s="58"/>
      <x:c r="D32" s="58"/>
      <x:c r="E32" s="58"/>
      <x:c r="F32" s="58"/>
      <x:c r="G32" s="58"/>
    </x:row>
    <x:row r="33" ht="42" customHeight="1">
      <x:c r="A33" s="58"/>
      <x:c r="B33" s="58"/>
      <x:c r="C33" s="58"/>
      <x:c r="D33" s="58"/>
      <x:c r="E33" s="58"/>
      <x:c r="F33" s="58"/>
      <x:c r="G33" s="58"/>
    </x:row>
    <x:row r="34" ht="42" customHeight="1">
      <x:c r="A34" s="58"/>
      <x:c r="B34" s="58"/>
      <x:c r="C34" s="58"/>
      <x:c r="D34" s="58"/>
      <x:c r="E34" s="58"/>
      <x:c r="F34" s="58"/>
      <x:c r="G34" s="58"/>
    </x:row>
    <x:row r="35" ht="42" customHeight="1">
      <x:c r="A35" s="58"/>
      <x:c r="B35" s="58"/>
      <x:c r="C35" s="58"/>
      <x:c r="D35" s="58"/>
      <x:c r="E35" s="58"/>
      <x:c r="F35" s="58"/>
      <x:c r="G35" s="58"/>
    </x:row>
    <x:row r="36" ht="42" customHeight="1">
      <x:c r="A36" s="58"/>
      <x:c r="B36" s="58"/>
      <x:c r="C36" s="58"/>
      <x:c r="D36" s="58"/>
      <x:c r="E36" s="58"/>
      <x:c r="F36" s="58"/>
      <x:c r="G36" s="58"/>
    </x:row>
    <x:row r="37" ht="42" customHeight="1">
      <x:c r="A37" s="58"/>
      <x:c r="B37" s="58"/>
      <x:c r="C37" s="58"/>
      <x:c r="D37" s="58"/>
      <x:c r="E37" s="58"/>
      <x:c r="F37" s="58"/>
      <x:c r="G37" s="58"/>
    </x:row>
    <x:row r="38" ht="42" customHeight="1">
      <x:c r="A38" s="58"/>
      <x:c r="B38" s="58"/>
      <x:c r="C38" s="58"/>
      <x:c r="D38" s="58"/>
      <x:c r="E38" s="58"/>
      <x:c r="F38" s="58"/>
      <x:c r="G38" s="58"/>
    </x:row>
    <x:row r="39" ht="42" customHeight="1">
      <x:c r="A39" s="58"/>
      <x:c r="B39" s="58"/>
      <x:c r="C39" s="58"/>
      <x:c r="D39" s="58"/>
      <x:c r="E39" s="58"/>
      <x:c r="F39" s="58"/>
      <x:c r="G39" s="58"/>
    </x:row>
    <x:row r="40" ht="42" customHeight="1">
      <x:c r="A40" s="58"/>
      <x:c r="B40" s="58"/>
      <x:c r="C40" s="58"/>
      <x:c r="D40" s="58"/>
      <x:c r="E40" s="58"/>
      <x:c r="F40" s="58"/>
      <x:c r="G40" s="58"/>
    </x:row>
  </x:sheetData>
  <x:mergeCells>
    <x:mergeCell ref="A1:G2"/>
    <x:mergeCell ref="A3:G3"/>
  </x:mergeCells>
  <x:dataValidations count="2">
    <x:dataValidation type="list" sqref="D6:D40">
      <x:formula1>'Referensi'!$E$2:$E$4</x:formula1>
    </x:dataValidation>
    <x:dataValidation type="list" sqref="F6:F40">
      <x:formula1>"Ya,Tidak"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35b9343ba744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Status</x:v>
      </x:c>
      <x:c r="B1" s="5" t="str">
        <x:v>Severity</x:v>
      </x:c>
      <x:c r="C1" s="5" t="str">
        <x:v>Jenis Test</x:v>
      </x:c>
      <x:c r="D1" s="5" t="str">
        <x:v>Status Bug</x:v>
      </x:c>
      <x:c r="E1" s="6" t="str">
        <x:v>Role Test</x:v>
      </x:c>
    </x:row>
    <x:row r="2">
      <x:c r="A2" s="7" t="str">
        <x:v>Not Tested</x:v>
      </x:c>
      <x:c r="B2" s="8" t="str">
        <x:v>Critical</x:v>
      </x:c>
      <x:c r="C2" s="8" t="str">
        <x:v>Smoke</x:v>
      </x:c>
      <x:c r="D2" s="8" t="str">
        <x:v>Open</x:v>
      </x:c>
      <x:c r="E2" s="9" t="str">
        <x:v>Admin</x:v>
      </x:c>
    </x:row>
    <x:row r="3">
      <x:c r="A3" s="7" t="str">
        <x:v>Passed</x:v>
      </x:c>
      <x:c r="B3" s="8" t="str">
        <x:v>High</x:v>
      </x:c>
      <x:c r="C3" s="8" t="str">
        <x:v>Functional</x:v>
      </x:c>
      <x:c r="D3" s="8" t="str">
        <x:v>In Progress</x:v>
      </x:c>
      <x:c r="E3" s="9" t="str">
        <x:v>Masyarakat</x:v>
      </x:c>
    </x:row>
    <x:row r="4">
      <x:c r="A4" s="7" t="str">
        <x:v>Failed</x:v>
      </x:c>
      <x:c r="B4" s="8" t="str">
        <x:v>Medium</x:v>
      </x:c>
      <x:c r="C4" s="8" t="str">
        <x:v>Validation</x:v>
      </x:c>
      <x:c r="D4" s="8" t="str">
        <x:v>Retest</x:v>
      </x:c>
      <x:c r="E4" s="9" t="str">
        <x:v>Publik</x:v>
      </x:c>
    </x:row>
    <x:row r="5">
      <x:c r="A5" s="7" t="str">
        <x:v>Blocked</x:v>
      </x:c>
      <x:c r="B5" s="8" t="str">
        <x:v>Low</x:v>
      </x:c>
      <x:c r="C5" s="8" t="str">
        <x:v>Security</x:v>
      </x:c>
      <x:c r="D5" s="8" t="str">
        <x:v>Resolved</x:v>
      </x:c>
      <x:c r="E5" s="9"/>
    </x:row>
    <x:row r="6">
      <x:c r="A6" s="7"/>
      <x:c r="B6" s="8"/>
      <x:c r="C6" s="8" t="str">
        <x:v>Compatibility</x:v>
      </x:c>
      <x:c r="D6" s="8" t="str">
        <x:v>Closed</x:v>
      </x:c>
      <x:c r="E6" s="9"/>
    </x:row>
    <x:row r="7">
      <x:c r="A7" s="7"/>
      <x:c r="B7" s="8"/>
      <x:c r="C7" s="8" t="str">
        <x:v>Usability</x:v>
      </x:c>
      <x:c r="D7" s="8"/>
      <x:c r="E7" s="9"/>
    </x:row>
    <x:row r="8">
      <x:c r="A8" s="10"/>
      <x:c r="B8" s="11"/>
      <x:c r="C8" s="11" t="str">
        <x:v>Performance</x:v>
      </x:c>
      <x:c r="D8" s="11"/>
      <x:c r="E8" s="12"/>
    </x:row>
  </x:sheetData>
  <x:pageMargins left="0.7" right="0.7" top="0.75" bottom="0.75" header="0.3" footer="0.3"/>
</x:worksheet>
</file>